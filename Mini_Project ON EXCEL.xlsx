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\Desktop\PGA PRO 02 EXCERCISE\excel\"/>
    </mc:Choice>
  </mc:AlternateContent>
  <bookViews>
    <workbookView xWindow="0" yWindow="0" windowWidth="20445" windowHeight="8670"/>
  </bookViews>
  <sheets>
    <sheet name="data" sheetId="1" r:id="rId1"/>
    <sheet name="Project_Questions" sheetId="3" r:id="rId2"/>
    <sheet name="Sheet1" sheetId="4" r:id="rId3"/>
  </sheets>
  <definedNames>
    <definedName name="_xlnm._FilterDatabase" localSheetId="0" hidden="1">data!$A$1:$AA$501</definedName>
    <definedName name="cop">#REF!</definedName>
  </definedNames>
  <calcPr calcId="152511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" i="1" l="1"/>
  <c r="AC4" i="1"/>
  <c r="AC2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B2" i="4" l="1" a="1"/>
  <c r="B2" i="4" s="1"/>
  <c r="B11" i="4"/>
  <c r="B14" i="4"/>
  <c r="B15" i="4"/>
  <c r="B16" i="4"/>
  <c r="B18" i="4" a="1"/>
  <c r="B18" i="4" s="1"/>
  <c r="B2" i="1"/>
  <c r="F2" i="1"/>
  <c r="J2" i="1"/>
  <c r="W2" i="1"/>
  <c r="U2" i="1" s="1"/>
  <c r="Y2" i="1"/>
  <c r="Z2" i="1"/>
  <c r="AD2" i="1"/>
  <c r="AB2" i="1" s="1"/>
  <c r="AE2" i="1"/>
  <c r="B3" i="1"/>
  <c r="F3" i="1"/>
  <c r="J3" i="1"/>
  <c r="W3" i="1"/>
  <c r="U3" i="1" s="1"/>
  <c r="Y3" i="1"/>
  <c r="Z3" i="1"/>
  <c r="AD3" i="1"/>
  <c r="AB3" i="1" s="1"/>
  <c r="AE3" i="1"/>
  <c r="B4" i="1"/>
  <c r="F4" i="1"/>
  <c r="J4" i="1"/>
  <c r="W4" i="1"/>
  <c r="U4" i="1" s="1"/>
  <c r="Y4" i="1"/>
  <c r="Z4" i="1"/>
  <c r="AD4" i="1"/>
  <c r="AB4" i="1" s="1"/>
  <c r="AE4" i="1"/>
  <c r="B5" i="1"/>
  <c r="F5" i="1"/>
  <c r="J5" i="1"/>
  <c r="W5" i="1"/>
  <c r="U5" i="1" s="1"/>
  <c r="Y5" i="1"/>
  <c r="Z5" i="1"/>
  <c r="AB5" i="1"/>
  <c r="AD5" i="1"/>
  <c r="AE5" i="1"/>
  <c r="B6" i="1"/>
  <c r="F6" i="1"/>
  <c r="J6" i="1"/>
  <c r="W6" i="1"/>
  <c r="U6" i="1" s="1"/>
  <c r="Y6" i="1"/>
  <c r="Z6" i="1"/>
  <c r="AD6" i="1"/>
  <c r="AB6" i="1" s="1"/>
  <c r="AE6" i="1"/>
  <c r="B7" i="1"/>
  <c r="F7" i="1"/>
  <c r="J7" i="1"/>
  <c r="W7" i="1"/>
  <c r="U7" i="1" s="1"/>
  <c r="Y7" i="1"/>
  <c r="Z7" i="1"/>
  <c r="AD7" i="1"/>
  <c r="AB7" i="1" s="1"/>
  <c r="AE7" i="1"/>
  <c r="B8" i="1"/>
  <c r="F8" i="1"/>
  <c r="J8" i="1"/>
  <c r="W8" i="1"/>
  <c r="U8" i="1" s="1"/>
  <c r="Y8" i="1"/>
  <c r="Z8" i="1"/>
  <c r="AD8" i="1"/>
  <c r="AB8" i="1" s="1"/>
  <c r="AE8" i="1"/>
  <c r="B9" i="1"/>
  <c r="F9" i="1"/>
  <c r="J9" i="1"/>
  <c r="W9" i="1"/>
  <c r="U9" i="1" s="1"/>
  <c r="Y9" i="1"/>
  <c r="Z9" i="1"/>
  <c r="AD9" i="1"/>
  <c r="AB9" i="1" s="1"/>
  <c r="AE9" i="1"/>
  <c r="B10" i="1"/>
  <c r="F10" i="1"/>
  <c r="J10" i="1"/>
  <c r="W10" i="1"/>
  <c r="U10" i="1" s="1"/>
  <c r="Y10" i="1"/>
  <c r="Z10" i="1"/>
  <c r="AB10" i="1"/>
  <c r="AD10" i="1"/>
  <c r="AE10" i="1"/>
  <c r="B33" i="4" s="1"/>
  <c r="B11" i="1"/>
  <c r="F11" i="1"/>
  <c r="J11" i="1"/>
  <c r="W11" i="1"/>
  <c r="U11" i="1" s="1"/>
  <c r="Y11" i="1"/>
  <c r="Z11" i="1"/>
  <c r="AD11" i="1"/>
  <c r="AB11" i="1" s="1"/>
  <c r="AE11" i="1"/>
  <c r="B12" i="1"/>
  <c r="F12" i="1"/>
  <c r="J12" i="1"/>
  <c r="U12" i="1"/>
  <c r="W12" i="1"/>
  <c r="Y12" i="1"/>
  <c r="Z12" i="1"/>
  <c r="AD12" i="1"/>
  <c r="AB12" i="1" s="1"/>
  <c r="AE12" i="1"/>
  <c r="B13" i="1"/>
  <c r="F13" i="1"/>
  <c r="J13" i="1"/>
  <c r="W13" i="1"/>
  <c r="U13" i="1" s="1"/>
  <c r="Y13" i="1"/>
  <c r="Z13" i="1"/>
  <c r="AD13" i="1"/>
  <c r="AB13" i="1" s="1"/>
  <c r="AE13" i="1"/>
  <c r="B14" i="1"/>
  <c r="F14" i="1"/>
  <c r="J14" i="1"/>
  <c r="W14" i="1"/>
  <c r="U14" i="1" s="1"/>
  <c r="Y14" i="1"/>
  <c r="Z14" i="1"/>
  <c r="AB14" i="1"/>
  <c r="AD14" i="1"/>
  <c r="AE14" i="1"/>
  <c r="B15" i="1"/>
  <c r="F15" i="1"/>
  <c r="J15" i="1"/>
  <c r="W15" i="1"/>
  <c r="U15" i="1" s="1"/>
  <c r="Y15" i="1"/>
  <c r="Z15" i="1"/>
  <c r="AD15" i="1"/>
  <c r="AB15" i="1" s="1"/>
  <c r="AE15" i="1"/>
  <c r="B16" i="1"/>
  <c r="F16" i="1"/>
  <c r="J16" i="1"/>
  <c r="U16" i="1"/>
  <c r="W16" i="1"/>
  <c r="Y16" i="1"/>
  <c r="Z16" i="1"/>
  <c r="AD16" i="1"/>
  <c r="AB16" i="1" s="1"/>
  <c r="AE16" i="1"/>
  <c r="B17" i="1"/>
  <c r="F17" i="1"/>
  <c r="J17" i="1"/>
  <c r="W17" i="1"/>
  <c r="U17" i="1" s="1"/>
  <c r="Y17" i="1"/>
  <c r="Z17" i="1"/>
  <c r="AD17" i="1"/>
  <c r="AB17" i="1" s="1"/>
  <c r="AE17" i="1"/>
  <c r="B18" i="1"/>
  <c r="F18" i="1"/>
  <c r="J18" i="1"/>
  <c r="W18" i="1"/>
  <c r="U18" i="1" s="1"/>
  <c r="Y18" i="1"/>
  <c r="Z18" i="1"/>
  <c r="AB18" i="1"/>
  <c r="AD18" i="1"/>
  <c r="AE18" i="1"/>
  <c r="B19" i="1"/>
  <c r="F19" i="1"/>
  <c r="J19" i="1"/>
  <c r="W19" i="1"/>
  <c r="U19" i="1" s="1"/>
  <c r="Y19" i="1"/>
  <c r="Z19" i="1"/>
  <c r="AD19" i="1"/>
  <c r="AB19" i="1" s="1"/>
  <c r="AE19" i="1"/>
  <c r="B20" i="1"/>
  <c r="F20" i="1"/>
  <c r="J20" i="1"/>
  <c r="U20" i="1"/>
  <c r="W20" i="1"/>
  <c r="Y20" i="1"/>
  <c r="Z20" i="1"/>
  <c r="AD20" i="1"/>
  <c r="AB20" i="1" s="1"/>
  <c r="AE20" i="1"/>
  <c r="B21" i="1"/>
  <c r="F21" i="1"/>
  <c r="J21" i="1"/>
  <c r="W21" i="1"/>
  <c r="U21" i="1" s="1"/>
  <c r="Y21" i="1"/>
  <c r="Z21" i="1"/>
  <c r="AD21" i="1"/>
  <c r="AB21" i="1" s="1"/>
  <c r="AE21" i="1"/>
  <c r="B22" i="1"/>
  <c r="F22" i="1"/>
  <c r="J22" i="1"/>
  <c r="W22" i="1"/>
  <c r="U22" i="1" s="1"/>
  <c r="Y22" i="1"/>
  <c r="Z22" i="1"/>
  <c r="AB22" i="1"/>
  <c r="AD22" i="1"/>
  <c r="AE22" i="1"/>
  <c r="B23" i="1"/>
  <c r="F23" i="1"/>
  <c r="J23" i="1"/>
  <c r="W23" i="1"/>
  <c r="U23" i="1" s="1"/>
  <c r="Y23" i="1"/>
  <c r="Z23" i="1"/>
  <c r="AD23" i="1"/>
  <c r="AB23" i="1" s="1"/>
  <c r="AE23" i="1"/>
  <c r="B24" i="1"/>
  <c r="F24" i="1"/>
  <c r="J24" i="1"/>
  <c r="U24" i="1"/>
  <c r="W24" i="1"/>
  <c r="Y24" i="1"/>
  <c r="Z24" i="1"/>
  <c r="AD24" i="1"/>
  <c r="AB24" i="1" s="1"/>
  <c r="AE24" i="1"/>
  <c r="B25" i="1"/>
  <c r="F25" i="1"/>
  <c r="J25" i="1"/>
  <c r="W25" i="1"/>
  <c r="U25" i="1" s="1"/>
  <c r="Y25" i="1"/>
  <c r="Z25" i="1"/>
  <c r="AD25" i="1"/>
  <c r="AB25" i="1" s="1"/>
  <c r="AE25" i="1"/>
  <c r="B26" i="1"/>
  <c r="F26" i="1"/>
  <c r="J26" i="1"/>
  <c r="W26" i="1"/>
  <c r="U26" i="1" s="1"/>
  <c r="Y26" i="1"/>
  <c r="Z26" i="1"/>
  <c r="AB26" i="1"/>
  <c r="AD26" i="1"/>
  <c r="AE26" i="1"/>
  <c r="B27" i="1"/>
  <c r="F27" i="1"/>
  <c r="J27" i="1"/>
  <c r="W27" i="1"/>
  <c r="U27" i="1" s="1"/>
  <c r="Y27" i="1"/>
  <c r="Z27" i="1"/>
  <c r="AD27" i="1"/>
  <c r="AB27" i="1" s="1"/>
  <c r="AE27" i="1"/>
  <c r="B28" i="1"/>
  <c r="F28" i="1"/>
  <c r="J28" i="1"/>
  <c r="U28" i="1"/>
  <c r="W28" i="1"/>
  <c r="Y28" i="1"/>
  <c r="Z28" i="1"/>
  <c r="AD28" i="1"/>
  <c r="AB28" i="1" s="1"/>
  <c r="AE28" i="1"/>
  <c r="B29" i="1"/>
  <c r="F29" i="1"/>
  <c r="J29" i="1"/>
  <c r="W29" i="1"/>
  <c r="U29" i="1" s="1"/>
  <c r="Y29" i="1"/>
  <c r="Z29" i="1"/>
  <c r="AD29" i="1"/>
  <c r="AB29" i="1" s="1"/>
  <c r="AE29" i="1"/>
  <c r="B30" i="1"/>
  <c r="F30" i="1"/>
  <c r="J30" i="1"/>
  <c r="W30" i="1"/>
  <c r="U30" i="1" s="1"/>
  <c r="Y30" i="1"/>
  <c r="Z30" i="1"/>
  <c r="AB30" i="1"/>
  <c r="AD30" i="1"/>
  <c r="AE30" i="1"/>
  <c r="B31" i="1"/>
  <c r="F31" i="1"/>
  <c r="J31" i="1"/>
  <c r="W31" i="1"/>
  <c r="U31" i="1" s="1"/>
  <c r="Y31" i="1"/>
  <c r="Z31" i="1"/>
  <c r="AD31" i="1"/>
  <c r="AB31" i="1" s="1"/>
  <c r="AE31" i="1"/>
  <c r="B32" i="1"/>
  <c r="F32" i="1"/>
  <c r="J32" i="1"/>
  <c r="U32" i="1"/>
  <c r="W32" i="1"/>
  <c r="Y32" i="1"/>
  <c r="Z32" i="1"/>
  <c r="AD32" i="1"/>
  <c r="AB32" i="1" s="1"/>
  <c r="AE32" i="1"/>
  <c r="B33" i="1"/>
  <c r="F33" i="1"/>
  <c r="J33" i="1"/>
  <c r="W33" i="1"/>
  <c r="U33" i="1" s="1"/>
  <c r="Y33" i="1"/>
  <c r="Z33" i="1"/>
  <c r="AD33" i="1"/>
  <c r="AB33" i="1" s="1"/>
  <c r="AE33" i="1"/>
  <c r="B34" i="1"/>
  <c r="F34" i="1"/>
  <c r="J34" i="1"/>
  <c r="W34" i="1"/>
  <c r="U34" i="1" s="1"/>
  <c r="Y34" i="1"/>
  <c r="Z34" i="1"/>
  <c r="AB34" i="1"/>
  <c r="AD34" i="1"/>
  <c r="AE34" i="1"/>
  <c r="B35" i="1"/>
  <c r="F35" i="1"/>
  <c r="J35" i="1"/>
  <c r="W35" i="1"/>
  <c r="U35" i="1" s="1"/>
  <c r="Y35" i="1"/>
  <c r="Z35" i="1"/>
  <c r="AD35" i="1"/>
  <c r="AB35" i="1" s="1"/>
  <c r="AE35" i="1"/>
  <c r="B36" i="1"/>
  <c r="F36" i="1"/>
  <c r="J36" i="1"/>
  <c r="U36" i="1"/>
  <c r="W36" i="1"/>
  <c r="Y36" i="1"/>
  <c r="Z36" i="1"/>
  <c r="AD36" i="1"/>
  <c r="AB36" i="1" s="1"/>
  <c r="AE36" i="1"/>
  <c r="B37" i="1"/>
  <c r="F37" i="1"/>
  <c r="J37" i="1"/>
  <c r="W37" i="1"/>
  <c r="U37" i="1" s="1"/>
  <c r="Y37" i="1"/>
  <c r="Z37" i="1"/>
  <c r="AD37" i="1"/>
  <c r="AB37" i="1" s="1"/>
  <c r="AE37" i="1"/>
  <c r="B38" i="1"/>
  <c r="F38" i="1"/>
  <c r="J38" i="1"/>
  <c r="W38" i="1"/>
  <c r="U38" i="1" s="1"/>
  <c r="Y38" i="1"/>
  <c r="Z38" i="1"/>
  <c r="AB38" i="1"/>
  <c r="AD38" i="1"/>
  <c r="AE38" i="1"/>
  <c r="B39" i="1"/>
  <c r="F39" i="1"/>
  <c r="J39" i="1"/>
  <c r="W39" i="1"/>
  <c r="U39" i="1" s="1"/>
  <c r="Y39" i="1"/>
  <c r="Z39" i="1"/>
  <c r="AD39" i="1"/>
  <c r="AB39" i="1" s="1"/>
  <c r="AE39" i="1"/>
  <c r="B40" i="1"/>
  <c r="F40" i="1"/>
  <c r="J40" i="1"/>
  <c r="U40" i="1"/>
  <c r="W40" i="1"/>
  <c r="Y40" i="1"/>
  <c r="Z40" i="1"/>
  <c r="AD40" i="1"/>
  <c r="AB40" i="1" s="1"/>
  <c r="AE40" i="1"/>
  <c r="B41" i="1"/>
  <c r="F41" i="1"/>
  <c r="J41" i="1"/>
  <c r="W41" i="1"/>
  <c r="U41" i="1" s="1"/>
  <c r="Y41" i="1"/>
  <c r="Z41" i="1"/>
  <c r="AD41" i="1"/>
  <c r="AB41" i="1" s="1"/>
  <c r="AE41" i="1"/>
  <c r="B42" i="1"/>
  <c r="F42" i="1"/>
  <c r="J42" i="1"/>
  <c r="W42" i="1"/>
  <c r="U42" i="1" s="1"/>
  <c r="Y42" i="1"/>
  <c r="Z42" i="1"/>
  <c r="AB42" i="1"/>
  <c r="AD42" i="1"/>
  <c r="AE42" i="1"/>
  <c r="B43" i="1"/>
  <c r="F43" i="1"/>
  <c r="J43" i="1"/>
  <c r="W43" i="1"/>
  <c r="U43" i="1" s="1"/>
  <c r="Y43" i="1"/>
  <c r="Z43" i="1"/>
  <c r="AD43" i="1"/>
  <c r="AB43" i="1" s="1"/>
  <c r="AE43" i="1"/>
  <c r="B44" i="1"/>
  <c r="F44" i="1"/>
  <c r="J44" i="1"/>
  <c r="U44" i="1"/>
  <c r="W44" i="1"/>
  <c r="Y44" i="1"/>
  <c r="Z44" i="1"/>
  <c r="AD44" i="1"/>
  <c r="AB44" i="1" s="1"/>
  <c r="AE44" i="1"/>
  <c r="B45" i="1"/>
  <c r="F45" i="1"/>
  <c r="J45" i="1"/>
  <c r="W45" i="1"/>
  <c r="U45" i="1" s="1"/>
  <c r="Y45" i="1"/>
  <c r="Z45" i="1"/>
  <c r="AD45" i="1"/>
  <c r="AB45" i="1" s="1"/>
  <c r="AE45" i="1"/>
  <c r="B46" i="1"/>
  <c r="F46" i="1"/>
  <c r="J46" i="1"/>
  <c r="W46" i="1"/>
  <c r="U46" i="1" s="1"/>
  <c r="Y46" i="1"/>
  <c r="Z46" i="1"/>
  <c r="AD46" i="1"/>
  <c r="AB46" i="1" s="1"/>
  <c r="AE46" i="1"/>
  <c r="B47" i="1"/>
  <c r="F47" i="1"/>
  <c r="J47" i="1"/>
  <c r="W47" i="1"/>
  <c r="U47" i="1" s="1"/>
  <c r="Y47" i="1"/>
  <c r="Z47" i="1"/>
  <c r="AD47" i="1"/>
  <c r="AB47" i="1" s="1"/>
  <c r="AE47" i="1"/>
  <c r="B48" i="1"/>
  <c r="F48" i="1"/>
  <c r="J48" i="1"/>
  <c r="U48" i="1"/>
  <c r="W48" i="1"/>
  <c r="Y48" i="1"/>
  <c r="Z48" i="1"/>
  <c r="AB48" i="1"/>
  <c r="AD48" i="1"/>
  <c r="AE48" i="1"/>
  <c r="B49" i="1"/>
  <c r="F49" i="1"/>
  <c r="J49" i="1"/>
  <c r="W49" i="1"/>
  <c r="U49" i="1" s="1"/>
  <c r="Y49" i="1"/>
  <c r="Z49" i="1"/>
  <c r="AD49" i="1"/>
  <c r="AB49" i="1" s="1"/>
  <c r="AE49" i="1"/>
  <c r="B50" i="1"/>
  <c r="F50" i="1"/>
  <c r="J50" i="1"/>
  <c r="W50" i="1"/>
  <c r="U50" i="1" s="1"/>
  <c r="Y50" i="1"/>
  <c r="Z50" i="1"/>
  <c r="AD50" i="1"/>
  <c r="AB50" i="1" s="1"/>
  <c r="AE50" i="1"/>
  <c r="B51" i="1"/>
  <c r="F51" i="1"/>
  <c r="J51" i="1"/>
  <c r="W51" i="1"/>
  <c r="U51" i="1" s="1"/>
  <c r="Y51" i="1"/>
  <c r="Z51" i="1"/>
  <c r="AD51" i="1"/>
  <c r="AB51" i="1" s="1"/>
  <c r="AE51" i="1"/>
  <c r="B52" i="1"/>
  <c r="F52" i="1"/>
  <c r="J52" i="1"/>
  <c r="U52" i="1"/>
  <c r="W52" i="1"/>
  <c r="Y52" i="1"/>
  <c r="Z52" i="1"/>
  <c r="AB52" i="1"/>
  <c r="AD52" i="1"/>
  <c r="AE52" i="1"/>
  <c r="B53" i="1"/>
  <c r="F53" i="1"/>
  <c r="J53" i="1"/>
  <c r="W53" i="1"/>
  <c r="U53" i="1" s="1"/>
  <c r="Y53" i="1"/>
  <c r="Z53" i="1"/>
  <c r="AD53" i="1"/>
  <c r="AB53" i="1" s="1"/>
  <c r="AE53" i="1"/>
  <c r="B54" i="1"/>
  <c r="F54" i="1"/>
  <c r="J54" i="1"/>
  <c r="W54" i="1"/>
  <c r="U54" i="1" s="1"/>
  <c r="Y54" i="1"/>
  <c r="Z54" i="1"/>
  <c r="AB54" i="1"/>
  <c r="AD54" i="1"/>
  <c r="AE54" i="1"/>
  <c r="B55" i="1"/>
  <c r="F55" i="1"/>
  <c r="J55" i="1"/>
  <c r="W55" i="1"/>
  <c r="U55" i="1" s="1"/>
  <c r="Y55" i="1"/>
  <c r="Z55" i="1"/>
  <c r="AD55" i="1"/>
  <c r="AB55" i="1" s="1"/>
  <c r="AE55" i="1"/>
  <c r="B56" i="1"/>
  <c r="F56" i="1"/>
  <c r="J56" i="1"/>
  <c r="U56" i="1"/>
  <c r="W56" i="1"/>
  <c r="Y56" i="1"/>
  <c r="Z56" i="1"/>
  <c r="AD56" i="1"/>
  <c r="AB56" i="1" s="1"/>
  <c r="AE56" i="1"/>
  <c r="B57" i="1"/>
  <c r="F57" i="1"/>
  <c r="J57" i="1"/>
  <c r="W57" i="1"/>
  <c r="U57" i="1" s="1"/>
  <c r="Y57" i="1"/>
  <c r="Z57" i="1"/>
  <c r="AD57" i="1"/>
  <c r="AB57" i="1" s="1"/>
  <c r="AE57" i="1"/>
  <c r="B58" i="1"/>
  <c r="F58" i="1"/>
  <c r="J58" i="1"/>
  <c r="W58" i="1"/>
  <c r="U58" i="1" s="1"/>
  <c r="Y58" i="1"/>
  <c r="Z58" i="1"/>
  <c r="AB58" i="1"/>
  <c r="AD58" i="1"/>
  <c r="AE58" i="1"/>
  <c r="B59" i="1"/>
  <c r="F59" i="1"/>
  <c r="J59" i="1"/>
  <c r="W59" i="1"/>
  <c r="U59" i="1" s="1"/>
  <c r="Y59" i="1"/>
  <c r="Z59" i="1"/>
  <c r="AD59" i="1"/>
  <c r="AB59" i="1" s="1"/>
  <c r="AE59" i="1"/>
  <c r="B60" i="1"/>
  <c r="F60" i="1"/>
  <c r="J60" i="1"/>
  <c r="U60" i="1"/>
  <c r="W60" i="1"/>
  <c r="Y60" i="1"/>
  <c r="Z60" i="1"/>
  <c r="AD60" i="1"/>
  <c r="AB60" i="1" s="1"/>
  <c r="AE60" i="1"/>
  <c r="B61" i="1"/>
  <c r="F61" i="1"/>
  <c r="J61" i="1"/>
  <c r="W61" i="1"/>
  <c r="U61" i="1" s="1"/>
  <c r="Y61" i="1"/>
  <c r="Z61" i="1"/>
  <c r="AD61" i="1"/>
  <c r="AB61" i="1" s="1"/>
  <c r="AE61" i="1"/>
  <c r="B62" i="1"/>
  <c r="F62" i="1"/>
  <c r="J62" i="1"/>
  <c r="W62" i="1"/>
  <c r="U62" i="1" s="1"/>
  <c r="Y62" i="1"/>
  <c r="Z62" i="1"/>
  <c r="AB62" i="1"/>
  <c r="AD62" i="1"/>
  <c r="AE62" i="1"/>
  <c r="B63" i="1"/>
  <c r="F63" i="1"/>
  <c r="J63" i="1"/>
  <c r="W63" i="1"/>
  <c r="U63" i="1" s="1"/>
  <c r="Y63" i="1"/>
  <c r="Z63" i="1"/>
  <c r="AD63" i="1"/>
  <c r="AB63" i="1" s="1"/>
  <c r="AE63" i="1"/>
  <c r="B64" i="1"/>
  <c r="F64" i="1"/>
  <c r="J64" i="1"/>
  <c r="U64" i="1"/>
  <c r="W64" i="1"/>
  <c r="Y64" i="1"/>
  <c r="Z64" i="1"/>
  <c r="AD64" i="1"/>
  <c r="AB64" i="1" s="1"/>
  <c r="AE64" i="1"/>
  <c r="B65" i="1"/>
  <c r="F65" i="1"/>
  <c r="J65" i="1"/>
  <c r="W65" i="1"/>
  <c r="U65" i="1" s="1"/>
  <c r="Y65" i="1"/>
  <c r="Z65" i="1"/>
  <c r="AD65" i="1"/>
  <c r="AB65" i="1" s="1"/>
  <c r="AE65" i="1"/>
  <c r="B66" i="1"/>
  <c r="F66" i="1"/>
  <c r="J66" i="1"/>
  <c r="W66" i="1"/>
  <c r="U66" i="1" s="1"/>
  <c r="Y66" i="1"/>
  <c r="Z66" i="1"/>
  <c r="AB66" i="1"/>
  <c r="AD66" i="1"/>
  <c r="AE66" i="1"/>
  <c r="B67" i="1"/>
  <c r="F67" i="1"/>
  <c r="J67" i="1"/>
  <c r="W67" i="1"/>
  <c r="U67" i="1" s="1"/>
  <c r="Y67" i="1"/>
  <c r="Z67" i="1"/>
  <c r="AD67" i="1"/>
  <c r="AB67" i="1" s="1"/>
  <c r="AE67" i="1"/>
  <c r="B68" i="1"/>
  <c r="F68" i="1"/>
  <c r="J68" i="1"/>
  <c r="U68" i="1"/>
  <c r="W68" i="1"/>
  <c r="Y68" i="1"/>
  <c r="Z68" i="1"/>
  <c r="AD68" i="1"/>
  <c r="AB68" i="1" s="1"/>
  <c r="AE68" i="1"/>
  <c r="B69" i="1"/>
  <c r="F69" i="1"/>
  <c r="J69" i="1"/>
  <c r="W69" i="1"/>
  <c r="U69" i="1" s="1"/>
  <c r="Y69" i="1"/>
  <c r="Z69" i="1"/>
  <c r="AD69" i="1"/>
  <c r="AB69" i="1" s="1"/>
  <c r="AE69" i="1"/>
  <c r="B70" i="1"/>
  <c r="F70" i="1"/>
  <c r="J70" i="1"/>
  <c r="W70" i="1"/>
  <c r="U70" i="1" s="1"/>
  <c r="Y70" i="1"/>
  <c r="Z70" i="1"/>
  <c r="AB70" i="1"/>
  <c r="AD70" i="1"/>
  <c r="AE70" i="1"/>
  <c r="B71" i="1"/>
  <c r="F71" i="1"/>
  <c r="J71" i="1"/>
  <c r="W71" i="1"/>
  <c r="U71" i="1" s="1"/>
  <c r="Y71" i="1"/>
  <c r="Z71" i="1"/>
  <c r="AD71" i="1"/>
  <c r="AB71" i="1" s="1"/>
  <c r="AE71" i="1"/>
  <c r="B72" i="1"/>
  <c r="F72" i="1"/>
  <c r="J72" i="1"/>
  <c r="U72" i="1"/>
  <c r="W72" i="1"/>
  <c r="Y72" i="1"/>
  <c r="Z72" i="1"/>
  <c r="AD72" i="1"/>
  <c r="AB72" i="1" s="1"/>
  <c r="AE72" i="1"/>
  <c r="B73" i="1"/>
  <c r="F73" i="1"/>
  <c r="J73" i="1"/>
  <c r="W73" i="1"/>
  <c r="U73" i="1" s="1"/>
  <c r="Y73" i="1"/>
  <c r="Z73" i="1"/>
  <c r="AD73" i="1"/>
  <c r="AB73" i="1" s="1"/>
  <c r="AE73" i="1"/>
  <c r="B74" i="1"/>
  <c r="F74" i="1"/>
  <c r="J74" i="1"/>
  <c r="W74" i="1"/>
  <c r="U74" i="1" s="1"/>
  <c r="Y74" i="1"/>
  <c r="Z74" i="1"/>
  <c r="AB74" i="1"/>
  <c r="AD74" i="1"/>
  <c r="AE74" i="1"/>
  <c r="B75" i="1"/>
  <c r="F75" i="1"/>
  <c r="J75" i="1"/>
  <c r="W75" i="1"/>
  <c r="U75" i="1" s="1"/>
  <c r="Y75" i="1"/>
  <c r="Z75" i="1"/>
  <c r="AD75" i="1"/>
  <c r="AB75" i="1" s="1"/>
  <c r="AE75" i="1"/>
  <c r="B76" i="1"/>
  <c r="F76" i="1"/>
  <c r="J76" i="1"/>
  <c r="U76" i="1"/>
  <c r="W76" i="1"/>
  <c r="Y76" i="1"/>
  <c r="Z76" i="1"/>
  <c r="AD76" i="1"/>
  <c r="AB76" i="1" s="1"/>
  <c r="AE76" i="1"/>
  <c r="B77" i="1"/>
  <c r="F77" i="1"/>
  <c r="J77" i="1"/>
  <c r="W77" i="1"/>
  <c r="U77" i="1" s="1"/>
  <c r="Y77" i="1"/>
  <c r="Z77" i="1"/>
  <c r="AD77" i="1"/>
  <c r="AB77" i="1" s="1"/>
  <c r="AE77" i="1"/>
  <c r="B78" i="1"/>
  <c r="F78" i="1"/>
  <c r="J78" i="1"/>
  <c r="W78" i="1"/>
  <c r="U78" i="1" s="1"/>
  <c r="Y78" i="1"/>
  <c r="Z78" i="1"/>
  <c r="AB78" i="1"/>
  <c r="AD78" i="1"/>
  <c r="AE78" i="1"/>
  <c r="B79" i="1"/>
  <c r="F79" i="1"/>
  <c r="J79" i="1"/>
  <c r="W79" i="1"/>
  <c r="U79" i="1" s="1"/>
  <c r="Y79" i="1"/>
  <c r="Z79" i="1"/>
  <c r="AD79" i="1"/>
  <c r="AB79" i="1" s="1"/>
  <c r="AE79" i="1"/>
  <c r="B80" i="1"/>
  <c r="F80" i="1"/>
  <c r="J80" i="1"/>
  <c r="U80" i="1"/>
  <c r="W80" i="1"/>
  <c r="Y80" i="1"/>
  <c r="Z80" i="1"/>
  <c r="AD80" i="1"/>
  <c r="AB80" i="1" s="1"/>
  <c r="AE80" i="1"/>
  <c r="B81" i="1"/>
  <c r="F81" i="1"/>
  <c r="J81" i="1"/>
  <c r="W81" i="1"/>
  <c r="U81" i="1" s="1"/>
  <c r="Y81" i="1"/>
  <c r="Z81" i="1"/>
  <c r="AD81" i="1"/>
  <c r="AB81" i="1" s="1"/>
  <c r="AE81" i="1"/>
  <c r="B82" i="1"/>
  <c r="F82" i="1"/>
  <c r="J82" i="1"/>
  <c r="W82" i="1"/>
  <c r="U82" i="1" s="1"/>
  <c r="Y82" i="1"/>
  <c r="Z82" i="1"/>
  <c r="AB82" i="1"/>
  <c r="AD82" i="1"/>
  <c r="AE82" i="1"/>
  <c r="B83" i="1"/>
  <c r="F83" i="1"/>
  <c r="J83" i="1"/>
  <c r="W83" i="1"/>
  <c r="U83" i="1" s="1"/>
  <c r="Y83" i="1"/>
  <c r="Z83" i="1"/>
  <c r="AD83" i="1"/>
  <c r="AB83" i="1" s="1"/>
  <c r="AE83" i="1"/>
  <c r="B84" i="1"/>
  <c r="F84" i="1"/>
  <c r="J84" i="1"/>
  <c r="U84" i="1"/>
  <c r="W84" i="1"/>
  <c r="Y84" i="1"/>
  <c r="Z84" i="1"/>
  <c r="AD84" i="1"/>
  <c r="AB84" i="1" s="1"/>
  <c r="AE84" i="1"/>
  <c r="B85" i="1"/>
  <c r="F85" i="1"/>
  <c r="J85" i="1"/>
  <c r="W85" i="1"/>
  <c r="U85" i="1" s="1"/>
  <c r="Y85" i="1"/>
  <c r="Z85" i="1"/>
  <c r="AD85" i="1"/>
  <c r="AB85" i="1" s="1"/>
  <c r="AE85" i="1"/>
  <c r="B86" i="1"/>
  <c r="F86" i="1"/>
  <c r="J86" i="1"/>
  <c r="W86" i="1"/>
  <c r="U86" i="1" s="1"/>
  <c r="Y86" i="1"/>
  <c r="Z86" i="1"/>
  <c r="AB86" i="1"/>
  <c r="AD86" i="1"/>
  <c r="AE86" i="1"/>
  <c r="B87" i="1"/>
  <c r="F87" i="1"/>
  <c r="J87" i="1"/>
  <c r="W87" i="1"/>
  <c r="U87" i="1" s="1"/>
  <c r="Y87" i="1"/>
  <c r="Z87" i="1"/>
  <c r="AD87" i="1"/>
  <c r="AB87" i="1" s="1"/>
  <c r="AE87" i="1"/>
  <c r="B88" i="1"/>
  <c r="F88" i="1"/>
  <c r="J88" i="1"/>
  <c r="U88" i="1"/>
  <c r="W88" i="1"/>
  <c r="Y88" i="1"/>
  <c r="Z88" i="1"/>
  <c r="AD88" i="1"/>
  <c r="AB88" i="1" s="1"/>
  <c r="AE88" i="1"/>
  <c r="B89" i="1"/>
  <c r="F89" i="1"/>
  <c r="J89" i="1"/>
  <c r="W89" i="1"/>
  <c r="U89" i="1" s="1"/>
  <c r="Y89" i="1"/>
  <c r="Z89" i="1"/>
  <c r="AD89" i="1"/>
  <c r="AB89" i="1" s="1"/>
  <c r="AE89" i="1"/>
  <c r="B90" i="1"/>
  <c r="F90" i="1"/>
  <c r="J90" i="1"/>
  <c r="W90" i="1"/>
  <c r="U90" i="1" s="1"/>
  <c r="Y90" i="1"/>
  <c r="Z90" i="1"/>
  <c r="AB90" i="1"/>
  <c r="AD90" i="1"/>
  <c r="AE90" i="1"/>
  <c r="B91" i="1"/>
  <c r="F91" i="1"/>
  <c r="J91" i="1"/>
  <c r="W91" i="1"/>
  <c r="U91" i="1" s="1"/>
  <c r="Y91" i="1"/>
  <c r="Z91" i="1"/>
  <c r="AD91" i="1"/>
  <c r="AB91" i="1" s="1"/>
  <c r="AE91" i="1"/>
  <c r="B92" i="1"/>
  <c r="F92" i="1"/>
  <c r="J92" i="1"/>
  <c r="U92" i="1"/>
  <c r="W92" i="1"/>
  <c r="Y92" i="1"/>
  <c r="Z92" i="1"/>
  <c r="AD92" i="1"/>
  <c r="AB92" i="1" s="1"/>
  <c r="AE92" i="1"/>
  <c r="B93" i="1"/>
  <c r="F93" i="1"/>
  <c r="J93" i="1"/>
  <c r="W93" i="1"/>
  <c r="U93" i="1" s="1"/>
  <c r="Y93" i="1"/>
  <c r="Z93" i="1"/>
  <c r="AD93" i="1"/>
  <c r="AB93" i="1" s="1"/>
  <c r="AE93" i="1"/>
  <c r="B94" i="1"/>
  <c r="F94" i="1"/>
  <c r="J94" i="1"/>
  <c r="W94" i="1"/>
  <c r="U94" i="1" s="1"/>
  <c r="Y94" i="1"/>
  <c r="Z94" i="1"/>
  <c r="AB94" i="1"/>
  <c r="AD94" i="1"/>
  <c r="AE94" i="1"/>
  <c r="B95" i="1"/>
  <c r="F95" i="1"/>
  <c r="J95" i="1"/>
  <c r="W95" i="1"/>
  <c r="U95" i="1" s="1"/>
  <c r="Y95" i="1"/>
  <c r="Z95" i="1"/>
  <c r="AD95" i="1"/>
  <c r="AB95" i="1" s="1"/>
  <c r="AE95" i="1"/>
  <c r="B96" i="1"/>
  <c r="F96" i="1"/>
  <c r="J96" i="1"/>
  <c r="U96" i="1"/>
  <c r="W96" i="1"/>
  <c r="Y96" i="1"/>
  <c r="Z96" i="1"/>
  <c r="AD96" i="1"/>
  <c r="AB96" i="1" s="1"/>
  <c r="AE96" i="1"/>
  <c r="B97" i="1"/>
  <c r="F97" i="1"/>
  <c r="J97" i="1"/>
  <c r="W97" i="1"/>
  <c r="U97" i="1" s="1"/>
  <c r="Y97" i="1"/>
  <c r="Z97" i="1"/>
  <c r="AD97" i="1"/>
  <c r="AB97" i="1" s="1"/>
  <c r="AE97" i="1"/>
  <c r="B98" i="1"/>
  <c r="F98" i="1"/>
  <c r="J98" i="1"/>
  <c r="W98" i="1"/>
  <c r="U98" i="1" s="1"/>
  <c r="Y98" i="1"/>
  <c r="Z98" i="1"/>
  <c r="AD98" i="1"/>
  <c r="AB98" i="1" s="1"/>
  <c r="AE98" i="1"/>
  <c r="B99" i="1"/>
  <c r="F99" i="1"/>
  <c r="J99" i="1"/>
  <c r="W99" i="1"/>
  <c r="U99" i="1" s="1"/>
  <c r="Y99" i="1"/>
  <c r="Z99" i="1"/>
  <c r="AD99" i="1"/>
  <c r="AB99" i="1" s="1"/>
  <c r="AE99" i="1"/>
  <c r="B100" i="1"/>
  <c r="F100" i="1"/>
  <c r="J100" i="1"/>
  <c r="W100" i="1"/>
  <c r="U100" i="1" s="1"/>
  <c r="Y100" i="1"/>
  <c r="Z100" i="1"/>
  <c r="AD100" i="1"/>
  <c r="AB100" i="1" s="1"/>
  <c r="AE100" i="1"/>
  <c r="B101" i="1"/>
  <c r="F101" i="1"/>
  <c r="J101" i="1"/>
  <c r="U101" i="1"/>
  <c r="W101" i="1"/>
  <c r="Y101" i="1"/>
  <c r="Z101" i="1"/>
  <c r="AB101" i="1"/>
  <c r="AD101" i="1"/>
  <c r="AE101" i="1"/>
  <c r="B102" i="1"/>
  <c r="F102" i="1"/>
  <c r="J102" i="1"/>
  <c r="W102" i="1"/>
  <c r="U102" i="1" s="1"/>
  <c r="Y102" i="1"/>
  <c r="Z102" i="1"/>
  <c r="AD102" i="1"/>
  <c r="AB102" i="1" s="1"/>
  <c r="AE102" i="1"/>
  <c r="B103" i="1"/>
  <c r="F103" i="1"/>
  <c r="J103" i="1"/>
  <c r="W103" i="1"/>
  <c r="U103" i="1" s="1"/>
  <c r="Y103" i="1"/>
  <c r="Z103" i="1"/>
  <c r="AD103" i="1"/>
  <c r="AB103" i="1" s="1"/>
  <c r="AE103" i="1"/>
  <c r="B104" i="1"/>
  <c r="F104" i="1"/>
  <c r="J104" i="1"/>
  <c r="W104" i="1"/>
  <c r="U104" i="1" s="1"/>
  <c r="Y104" i="1"/>
  <c r="Z104" i="1"/>
  <c r="AD104" i="1"/>
  <c r="AB104" i="1" s="1"/>
  <c r="AE104" i="1"/>
  <c r="B105" i="1"/>
  <c r="F105" i="1"/>
  <c r="J105" i="1"/>
  <c r="W105" i="1"/>
  <c r="U105" i="1" s="1"/>
  <c r="Y105" i="1"/>
  <c r="Z105" i="1"/>
  <c r="AB105" i="1"/>
  <c r="AD105" i="1"/>
  <c r="AE105" i="1"/>
  <c r="B106" i="1"/>
  <c r="F106" i="1"/>
  <c r="J106" i="1"/>
  <c r="W106" i="1"/>
  <c r="U106" i="1" s="1"/>
  <c r="Y106" i="1"/>
  <c r="Z106" i="1"/>
  <c r="AD106" i="1"/>
  <c r="AB106" i="1" s="1"/>
  <c r="AE106" i="1"/>
  <c r="B107" i="1"/>
  <c r="F107" i="1"/>
  <c r="J107" i="1"/>
  <c r="W107" i="1"/>
  <c r="U107" i="1" s="1"/>
  <c r="Y107" i="1"/>
  <c r="Z107" i="1"/>
  <c r="AD107" i="1"/>
  <c r="AB107" i="1" s="1"/>
  <c r="AE107" i="1"/>
  <c r="B108" i="1"/>
  <c r="F108" i="1"/>
  <c r="J108" i="1"/>
  <c r="W108" i="1"/>
  <c r="U108" i="1" s="1"/>
  <c r="Y108" i="1"/>
  <c r="Z108" i="1"/>
  <c r="AD108" i="1"/>
  <c r="AB108" i="1" s="1"/>
  <c r="AE108" i="1"/>
  <c r="B109" i="1"/>
  <c r="F109" i="1"/>
  <c r="J109" i="1"/>
  <c r="U109" i="1"/>
  <c r="W109" i="1"/>
  <c r="Y109" i="1"/>
  <c r="Z109" i="1"/>
  <c r="AB109" i="1"/>
  <c r="AD109" i="1"/>
  <c r="AE109" i="1"/>
  <c r="B110" i="1"/>
  <c r="F110" i="1"/>
  <c r="J110" i="1"/>
  <c r="W110" i="1"/>
  <c r="U110" i="1" s="1"/>
  <c r="Y110" i="1"/>
  <c r="Z110" i="1"/>
  <c r="AD110" i="1"/>
  <c r="AB110" i="1" s="1"/>
  <c r="AE110" i="1"/>
  <c r="B111" i="1"/>
  <c r="F111" i="1"/>
  <c r="J111" i="1"/>
  <c r="W111" i="1"/>
  <c r="U111" i="1" s="1"/>
  <c r="Y111" i="1"/>
  <c r="Z111" i="1"/>
  <c r="AD111" i="1"/>
  <c r="AB111" i="1" s="1"/>
  <c r="AE111" i="1"/>
  <c r="B112" i="1"/>
  <c r="F112" i="1"/>
  <c r="J112" i="1"/>
  <c r="U112" i="1"/>
  <c r="W112" i="1"/>
  <c r="Y112" i="1"/>
  <c r="Z112" i="1"/>
  <c r="AD112" i="1"/>
  <c r="AB112" i="1" s="1"/>
  <c r="AE112" i="1"/>
  <c r="B113" i="1"/>
  <c r="F113" i="1"/>
  <c r="J113" i="1"/>
  <c r="U113" i="1"/>
  <c r="W113" i="1"/>
  <c r="Y113" i="1"/>
  <c r="Z113" i="1"/>
  <c r="AB113" i="1"/>
  <c r="AD113" i="1"/>
  <c r="AE113" i="1"/>
  <c r="B114" i="1"/>
  <c r="F114" i="1"/>
  <c r="J114" i="1"/>
  <c r="W114" i="1"/>
  <c r="U114" i="1" s="1"/>
  <c r="Y114" i="1"/>
  <c r="Z114" i="1"/>
  <c r="AB114" i="1"/>
  <c r="AD114" i="1"/>
  <c r="AE114" i="1"/>
  <c r="B115" i="1"/>
  <c r="F115" i="1"/>
  <c r="J115" i="1"/>
  <c r="W115" i="1"/>
  <c r="U115" i="1" s="1"/>
  <c r="Y115" i="1"/>
  <c r="Z115" i="1"/>
  <c r="AD115" i="1"/>
  <c r="AB115" i="1" s="1"/>
  <c r="AE115" i="1"/>
  <c r="B116" i="1"/>
  <c r="F116" i="1"/>
  <c r="J116" i="1"/>
  <c r="W116" i="1"/>
  <c r="U116" i="1" s="1"/>
  <c r="Y116" i="1"/>
  <c r="Z116" i="1"/>
  <c r="AD116" i="1"/>
  <c r="AB116" i="1" s="1"/>
  <c r="AE116" i="1"/>
  <c r="B117" i="1"/>
  <c r="F117" i="1"/>
  <c r="J117" i="1"/>
  <c r="W117" i="1"/>
  <c r="U117" i="1" s="1"/>
  <c r="Y117" i="1"/>
  <c r="Z117" i="1"/>
  <c r="AD117" i="1"/>
  <c r="AB117" i="1" s="1"/>
  <c r="AE117" i="1"/>
  <c r="B118" i="1"/>
  <c r="F118" i="1"/>
  <c r="J118" i="1"/>
  <c r="W118" i="1"/>
  <c r="U118" i="1" s="1"/>
  <c r="Y118" i="1"/>
  <c r="Z118" i="1"/>
  <c r="AB118" i="1"/>
  <c r="AD118" i="1"/>
  <c r="AE118" i="1"/>
  <c r="B119" i="1"/>
  <c r="F119" i="1"/>
  <c r="J119" i="1"/>
  <c r="W119" i="1"/>
  <c r="U119" i="1" s="1"/>
  <c r="Y119" i="1"/>
  <c r="Z119" i="1"/>
  <c r="AD119" i="1"/>
  <c r="AB119" i="1" s="1"/>
  <c r="AE119" i="1"/>
  <c r="B120" i="1"/>
  <c r="F120" i="1"/>
  <c r="J120" i="1"/>
  <c r="U120" i="1"/>
  <c r="W120" i="1"/>
  <c r="Y120" i="1"/>
  <c r="Z120" i="1"/>
  <c r="AD120" i="1"/>
  <c r="AB120" i="1" s="1"/>
  <c r="AE120" i="1"/>
  <c r="B121" i="1"/>
  <c r="F121" i="1"/>
  <c r="J121" i="1"/>
  <c r="W121" i="1"/>
  <c r="U121" i="1" s="1"/>
  <c r="Y121" i="1"/>
  <c r="Z121" i="1"/>
  <c r="AD121" i="1"/>
  <c r="AB121" i="1" s="1"/>
  <c r="AE121" i="1"/>
  <c r="B122" i="1"/>
  <c r="F122" i="1"/>
  <c r="J122" i="1"/>
  <c r="U122" i="1"/>
  <c r="W122" i="1"/>
  <c r="Y122" i="1"/>
  <c r="Z122" i="1"/>
  <c r="AB122" i="1"/>
  <c r="AD122" i="1"/>
  <c r="AE122" i="1"/>
  <c r="B123" i="1"/>
  <c r="F123" i="1"/>
  <c r="J123" i="1"/>
  <c r="W123" i="1"/>
  <c r="U123" i="1" s="1"/>
  <c r="Y123" i="1"/>
  <c r="Z123" i="1"/>
  <c r="AD123" i="1"/>
  <c r="AB123" i="1" s="1"/>
  <c r="AE123" i="1"/>
  <c r="B124" i="1"/>
  <c r="F124" i="1"/>
  <c r="J124" i="1"/>
  <c r="U124" i="1"/>
  <c r="W124" i="1"/>
  <c r="Y124" i="1"/>
  <c r="Z124" i="1"/>
  <c r="AD124" i="1"/>
  <c r="AB124" i="1" s="1"/>
  <c r="AE124" i="1"/>
  <c r="B125" i="1"/>
  <c r="F125" i="1"/>
  <c r="J125" i="1"/>
  <c r="U125" i="1"/>
  <c r="W125" i="1"/>
  <c r="Y125" i="1"/>
  <c r="Z125" i="1"/>
  <c r="AD125" i="1"/>
  <c r="AB125" i="1" s="1"/>
  <c r="AE125" i="1"/>
  <c r="B126" i="1"/>
  <c r="F126" i="1"/>
  <c r="J126" i="1"/>
  <c r="W126" i="1"/>
  <c r="U126" i="1" s="1"/>
  <c r="Y126" i="1"/>
  <c r="Z126" i="1"/>
  <c r="AD126" i="1"/>
  <c r="AB126" i="1" s="1"/>
  <c r="AE126" i="1"/>
  <c r="B127" i="1"/>
  <c r="F127" i="1"/>
  <c r="J127" i="1"/>
  <c r="W127" i="1"/>
  <c r="U127" i="1" s="1"/>
  <c r="Y127" i="1"/>
  <c r="Z127" i="1"/>
  <c r="AD127" i="1"/>
  <c r="AB127" i="1" s="1"/>
  <c r="AE127" i="1"/>
  <c r="B128" i="1"/>
  <c r="F128" i="1"/>
  <c r="J128" i="1"/>
  <c r="W128" i="1"/>
  <c r="U128" i="1" s="1"/>
  <c r="Y128" i="1"/>
  <c r="Z128" i="1"/>
  <c r="AD128" i="1"/>
  <c r="AB128" i="1" s="1"/>
  <c r="AE128" i="1"/>
  <c r="B129" i="1"/>
  <c r="F129" i="1"/>
  <c r="J129" i="1"/>
  <c r="W129" i="1"/>
  <c r="U129" i="1" s="1"/>
  <c r="Y129" i="1"/>
  <c r="Z129" i="1"/>
  <c r="AD129" i="1"/>
  <c r="AB129" i="1" s="1"/>
  <c r="AE129" i="1"/>
  <c r="B130" i="1"/>
  <c r="F130" i="1"/>
  <c r="J130" i="1"/>
  <c r="W130" i="1"/>
  <c r="U130" i="1" s="1"/>
  <c r="Y130" i="1"/>
  <c r="Z130" i="1"/>
  <c r="AB130" i="1"/>
  <c r="AD130" i="1"/>
  <c r="AE130" i="1"/>
  <c r="B131" i="1"/>
  <c r="F131" i="1"/>
  <c r="J131" i="1"/>
  <c r="W131" i="1"/>
  <c r="U131" i="1" s="1"/>
  <c r="Y131" i="1"/>
  <c r="Z131" i="1"/>
  <c r="AD131" i="1"/>
  <c r="AB131" i="1" s="1"/>
  <c r="AE131" i="1"/>
  <c r="B132" i="1"/>
  <c r="F132" i="1"/>
  <c r="J132" i="1"/>
  <c r="U132" i="1"/>
  <c r="W132" i="1"/>
  <c r="Y132" i="1"/>
  <c r="Z132" i="1"/>
  <c r="AB132" i="1"/>
  <c r="AD132" i="1"/>
  <c r="AE132" i="1"/>
  <c r="B133" i="1"/>
  <c r="F133" i="1"/>
  <c r="J133" i="1"/>
  <c r="U133" i="1"/>
  <c r="W133" i="1"/>
  <c r="Y133" i="1"/>
  <c r="Z133" i="1"/>
  <c r="AB133" i="1"/>
  <c r="AD133" i="1"/>
  <c r="AE133" i="1"/>
  <c r="B134" i="1"/>
  <c r="F134" i="1"/>
  <c r="J134" i="1"/>
  <c r="W134" i="1"/>
  <c r="U134" i="1" s="1"/>
  <c r="Y134" i="1"/>
  <c r="Z134" i="1"/>
  <c r="AD134" i="1"/>
  <c r="AB134" i="1" s="1"/>
  <c r="AE134" i="1"/>
  <c r="B135" i="1"/>
  <c r="F135" i="1"/>
  <c r="J135" i="1"/>
  <c r="W135" i="1"/>
  <c r="U135" i="1" s="1"/>
  <c r="Y135" i="1"/>
  <c r="Z135" i="1"/>
  <c r="AD135" i="1"/>
  <c r="AB135" i="1" s="1"/>
  <c r="AE135" i="1"/>
  <c r="B136" i="1"/>
  <c r="F136" i="1"/>
  <c r="J136" i="1"/>
  <c r="U136" i="1"/>
  <c r="W136" i="1"/>
  <c r="Y136" i="1"/>
  <c r="Z136" i="1"/>
  <c r="AD136" i="1"/>
  <c r="AB136" i="1" s="1"/>
  <c r="AE136" i="1"/>
  <c r="B137" i="1"/>
  <c r="F137" i="1"/>
  <c r="J137" i="1"/>
  <c r="W137" i="1"/>
  <c r="U137" i="1" s="1"/>
  <c r="Y137" i="1"/>
  <c r="Z137" i="1"/>
  <c r="AD137" i="1"/>
  <c r="AB137" i="1" s="1"/>
  <c r="AE137" i="1"/>
  <c r="B138" i="1"/>
  <c r="F138" i="1"/>
  <c r="J138" i="1"/>
  <c r="W138" i="1"/>
  <c r="U138" i="1" s="1"/>
  <c r="Y138" i="1"/>
  <c r="Z138" i="1"/>
  <c r="AB138" i="1"/>
  <c r="AD138" i="1"/>
  <c r="AE138" i="1"/>
  <c r="B139" i="1"/>
  <c r="F139" i="1"/>
  <c r="J139" i="1"/>
  <c r="W139" i="1"/>
  <c r="U139" i="1" s="1"/>
  <c r="Y139" i="1"/>
  <c r="Z139" i="1"/>
  <c r="AD139" i="1"/>
  <c r="AB139" i="1" s="1"/>
  <c r="AE139" i="1"/>
  <c r="B140" i="1"/>
  <c r="F140" i="1"/>
  <c r="J140" i="1"/>
  <c r="W140" i="1"/>
  <c r="U140" i="1" s="1"/>
  <c r="Y140" i="1"/>
  <c r="Z140" i="1"/>
  <c r="AB140" i="1"/>
  <c r="AD140" i="1"/>
  <c r="AE140" i="1"/>
  <c r="B141" i="1"/>
  <c r="F141" i="1"/>
  <c r="J141" i="1"/>
  <c r="U141" i="1"/>
  <c r="W141" i="1"/>
  <c r="Y141" i="1"/>
  <c r="Z141" i="1"/>
  <c r="AD141" i="1"/>
  <c r="AB141" i="1" s="1"/>
  <c r="AE141" i="1"/>
  <c r="B142" i="1"/>
  <c r="F142" i="1"/>
  <c r="J142" i="1"/>
  <c r="W142" i="1"/>
  <c r="U142" i="1" s="1"/>
  <c r="Y142" i="1"/>
  <c r="Z142" i="1"/>
  <c r="AD142" i="1"/>
  <c r="AB142" i="1" s="1"/>
  <c r="AE142" i="1"/>
  <c r="B143" i="1"/>
  <c r="F143" i="1"/>
  <c r="J143" i="1"/>
  <c r="W143" i="1"/>
  <c r="U143" i="1" s="1"/>
  <c r="Y143" i="1"/>
  <c r="Z143" i="1"/>
  <c r="AD143" i="1"/>
  <c r="AB143" i="1" s="1"/>
  <c r="AE143" i="1"/>
  <c r="B144" i="1"/>
  <c r="F144" i="1"/>
  <c r="J144" i="1"/>
  <c r="W144" i="1"/>
  <c r="U144" i="1" s="1"/>
  <c r="Y144" i="1"/>
  <c r="Z144" i="1"/>
  <c r="AD144" i="1"/>
  <c r="AB144" i="1" s="1"/>
  <c r="AE144" i="1"/>
  <c r="B145" i="1"/>
  <c r="F145" i="1"/>
  <c r="J145" i="1"/>
  <c r="W145" i="1"/>
  <c r="U145" i="1" s="1"/>
  <c r="Y145" i="1"/>
  <c r="Z145" i="1"/>
  <c r="AD145" i="1"/>
  <c r="AB145" i="1" s="1"/>
  <c r="AE145" i="1"/>
  <c r="B146" i="1"/>
  <c r="F146" i="1"/>
  <c r="J146" i="1"/>
  <c r="W146" i="1"/>
  <c r="U146" i="1" s="1"/>
  <c r="Y146" i="1"/>
  <c r="Z146" i="1"/>
  <c r="AB146" i="1"/>
  <c r="AD146" i="1"/>
  <c r="AE146" i="1"/>
  <c r="B147" i="1"/>
  <c r="F147" i="1"/>
  <c r="J147" i="1"/>
  <c r="W147" i="1"/>
  <c r="U147" i="1" s="1"/>
  <c r="Y147" i="1"/>
  <c r="Z147" i="1"/>
  <c r="AD147" i="1"/>
  <c r="AB147" i="1" s="1"/>
  <c r="AE147" i="1"/>
  <c r="B148" i="1"/>
  <c r="F148" i="1"/>
  <c r="J148" i="1"/>
  <c r="U148" i="1"/>
  <c r="W148" i="1"/>
  <c r="Y148" i="1"/>
  <c r="Z148" i="1"/>
  <c r="AB148" i="1"/>
  <c r="AD148" i="1"/>
  <c r="AE148" i="1"/>
  <c r="B149" i="1"/>
  <c r="F149" i="1"/>
  <c r="J149" i="1"/>
  <c r="U149" i="1"/>
  <c r="W149" i="1"/>
  <c r="Y149" i="1"/>
  <c r="Z149" i="1"/>
  <c r="AB149" i="1"/>
  <c r="AD149" i="1"/>
  <c r="AE149" i="1"/>
  <c r="B150" i="1"/>
  <c r="F150" i="1"/>
  <c r="J150" i="1"/>
  <c r="W150" i="1"/>
  <c r="U150" i="1" s="1"/>
  <c r="Y150" i="1"/>
  <c r="Z150" i="1"/>
  <c r="AD150" i="1"/>
  <c r="AB150" i="1" s="1"/>
  <c r="AE150" i="1"/>
  <c r="B151" i="1"/>
  <c r="F151" i="1"/>
  <c r="J151" i="1"/>
  <c r="W151" i="1"/>
  <c r="U151" i="1" s="1"/>
  <c r="Y151" i="1"/>
  <c r="Z151" i="1"/>
  <c r="AD151" i="1"/>
  <c r="AB151" i="1" s="1"/>
  <c r="AE151" i="1"/>
  <c r="B152" i="1"/>
  <c r="F152" i="1"/>
  <c r="J152" i="1"/>
  <c r="U152" i="1"/>
  <c r="W152" i="1"/>
  <c r="Y152" i="1"/>
  <c r="Z152" i="1"/>
  <c r="AD152" i="1"/>
  <c r="AB152" i="1" s="1"/>
  <c r="AE152" i="1"/>
  <c r="B153" i="1"/>
  <c r="F153" i="1"/>
  <c r="J153" i="1"/>
  <c r="W153" i="1"/>
  <c r="U153" i="1" s="1"/>
  <c r="Y153" i="1"/>
  <c r="Z153" i="1"/>
  <c r="AD153" i="1"/>
  <c r="AB153" i="1" s="1"/>
  <c r="AE153" i="1"/>
  <c r="B154" i="1"/>
  <c r="F154" i="1"/>
  <c r="J154" i="1"/>
  <c r="W154" i="1"/>
  <c r="U154" i="1" s="1"/>
  <c r="Y154" i="1"/>
  <c r="Z154" i="1"/>
  <c r="AB154" i="1"/>
  <c r="AD154" i="1"/>
  <c r="AE154" i="1"/>
  <c r="B155" i="1"/>
  <c r="F155" i="1"/>
  <c r="J155" i="1"/>
  <c r="W155" i="1"/>
  <c r="U155" i="1" s="1"/>
  <c r="Y155" i="1"/>
  <c r="Z155" i="1"/>
  <c r="AD155" i="1"/>
  <c r="AB155" i="1" s="1"/>
  <c r="AE155" i="1"/>
  <c r="B156" i="1"/>
  <c r="F156" i="1"/>
  <c r="J156" i="1"/>
  <c r="W156" i="1"/>
  <c r="U156" i="1" s="1"/>
  <c r="Y156" i="1"/>
  <c r="Z156" i="1"/>
  <c r="AB156" i="1"/>
  <c r="AD156" i="1"/>
  <c r="AE156" i="1"/>
  <c r="B157" i="1"/>
  <c r="F157" i="1"/>
  <c r="J157" i="1"/>
  <c r="U157" i="1"/>
  <c r="W157" i="1"/>
  <c r="Y157" i="1"/>
  <c r="Z157" i="1"/>
  <c r="AD157" i="1"/>
  <c r="AB157" i="1" s="1"/>
  <c r="AE157" i="1"/>
  <c r="B158" i="1"/>
  <c r="F158" i="1"/>
  <c r="J158" i="1"/>
  <c r="W158" i="1"/>
  <c r="U158" i="1" s="1"/>
  <c r="Y158" i="1"/>
  <c r="Z158" i="1"/>
  <c r="AD158" i="1"/>
  <c r="AB158" i="1" s="1"/>
  <c r="AE158" i="1"/>
  <c r="B159" i="1"/>
  <c r="F159" i="1"/>
  <c r="J159" i="1"/>
  <c r="W159" i="1"/>
  <c r="U159" i="1" s="1"/>
  <c r="Y159" i="1"/>
  <c r="Z159" i="1"/>
  <c r="AD159" i="1"/>
  <c r="AB159" i="1" s="1"/>
  <c r="AE159" i="1"/>
  <c r="B160" i="1"/>
  <c r="F160" i="1"/>
  <c r="J160" i="1"/>
  <c r="W160" i="1"/>
  <c r="U160" i="1" s="1"/>
  <c r="Y160" i="1"/>
  <c r="Z160" i="1"/>
  <c r="AD160" i="1"/>
  <c r="AB160" i="1" s="1"/>
  <c r="AE160" i="1"/>
  <c r="B161" i="1"/>
  <c r="F161" i="1"/>
  <c r="J161" i="1"/>
  <c r="W161" i="1"/>
  <c r="U161" i="1" s="1"/>
  <c r="Y161" i="1"/>
  <c r="Z161" i="1"/>
  <c r="AD161" i="1"/>
  <c r="AB161" i="1" s="1"/>
  <c r="AE161" i="1"/>
  <c r="B162" i="1"/>
  <c r="F162" i="1"/>
  <c r="J162" i="1"/>
  <c r="W162" i="1"/>
  <c r="U162" i="1" s="1"/>
  <c r="Y162" i="1"/>
  <c r="Z162" i="1"/>
  <c r="AB162" i="1"/>
  <c r="AD162" i="1"/>
  <c r="AE162" i="1"/>
  <c r="B163" i="1"/>
  <c r="F163" i="1"/>
  <c r="J163" i="1"/>
  <c r="W163" i="1"/>
  <c r="U163" i="1" s="1"/>
  <c r="Y163" i="1"/>
  <c r="Z163" i="1"/>
  <c r="AD163" i="1"/>
  <c r="AB163" i="1" s="1"/>
  <c r="AE163" i="1"/>
  <c r="B164" i="1"/>
  <c r="F164" i="1"/>
  <c r="J164" i="1"/>
  <c r="U164" i="1"/>
  <c r="W164" i="1"/>
  <c r="Y164" i="1"/>
  <c r="Z164" i="1"/>
  <c r="AB164" i="1"/>
  <c r="AD164" i="1"/>
  <c r="AE164" i="1"/>
  <c r="B165" i="1"/>
  <c r="F165" i="1"/>
  <c r="J165" i="1"/>
  <c r="U165" i="1"/>
  <c r="W165" i="1"/>
  <c r="Y165" i="1"/>
  <c r="Z165" i="1"/>
  <c r="AB165" i="1"/>
  <c r="AD165" i="1"/>
  <c r="AE165" i="1"/>
  <c r="B166" i="1"/>
  <c r="F166" i="1"/>
  <c r="J166" i="1"/>
  <c r="W166" i="1"/>
  <c r="U166" i="1" s="1"/>
  <c r="Y166" i="1"/>
  <c r="Z166" i="1"/>
  <c r="AD166" i="1"/>
  <c r="AB166" i="1" s="1"/>
  <c r="AE166" i="1"/>
  <c r="B167" i="1"/>
  <c r="F167" i="1"/>
  <c r="J167" i="1"/>
  <c r="W167" i="1"/>
  <c r="U167" i="1" s="1"/>
  <c r="Y167" i="1"/>
  <c r="Z167" i="1"/>
  <c r="AD167" i="1"/>
  <c r="AB167" i="1" s="1"/>
  <c r="AE167" i="1"/>
  <c r="B168" i="1"/>
  <c r="F168" i="1"/>
  <c r="J168" i="1"/>
  <c r="U168" i="1"/>
  <c r="W168" i="1"/>
  <c r="Y168" i="1"/>
  <c r="Z168" i="1"/>
  <c r="AD168" i="1"/>
  <c r="AB168" i="1" s="1"/>
  <c r="AE168" i="1"/>
  <c r="B169" i="1"/>
  <c r="F169" i="1"/>
  <c r="J169" i="1"/>
  <c r="W169" i="1"/>
  <c r="U169" i="1" s="1"/>
  <c r="Y169" i="1"/>
  <c r="Z169" i="1"/>
  <c r="AD169" i="1"/>
  <c r="AB169" i="1" s="1"/>
  <c r="AE169" i="1"/>
  <c r="B170" i="1"/>
  <c r="F170" i="1"/>
  <c r="J170" i="1"/>
  <c r="W170" i="1"/>
  <c r="U170" i="1" s="1"/>
  <c r="Y170" i="1"/>
  <c r="Z170" i="1"/>
  <c r="AB170" i="1"/>
  <c r="AD170" i="1"/>
  <c r="AE170" i="1"/>
  <c r="B171" i="1"/>
  <c r="F171" i="1"/>
  <c r="J171" i="1"/>
  <c r="W171" i="1"/>
  <c r="U171" i="1" s="1"/>
  <c r="Y171" i="1"/>
  <c r="Z171" i="1"/>
  <c r="AD171" i="1"/>
  <c r="AB171" i="1" s="1"/>
  <c r="AE171" i="1"/>
  <c r="B172" i="1"/>
  <c r="F172" i="1"/>
  <c r="J172" i="1"/>
  <c r="W172" i="1"/>
  <c r="U172" i="1" s="1"/>
  <c r="Y172" i="1"/>
  <c r="Z172" i="1"/>
  <c r="AB172" i="1"/>
  <c r="AD172" i="1"/>
  <c r="AE172" i="1"/>
  <c r="B173" i="1"/>
  <c r="F173" i="1"/>
  <c r="J173" i="1"/>
  <c r="W173" i="1"/>
  <c r="U173" i="1" s="1"/>
  <c r="Y173" i="1"/>
  <c r="Z173" i="1"/>
  <c r="AD173" i="1"/>
  <c r="AB173" i="1" s="1"/>
  <c r="AE173" i="1"/>
  <c r="B174" i="1"/>
  <c r="F174" i="1"/>
  <c r="J174" i="1"/>
  <c r="U174" i="1"/>
  <c r="W174" i="1"/>
  <c r="Y174" i="1"/>
  <c r="Z174" i="1"/>
  <c r="AD174" i="1"/>
  <c r="AB174" i="1" s="1"/>
  <c r="AE174" i="1"/>
  <c r="B175" i="1"/>
  <c r="F175" i="1"/>
  <c r="J175" i="1"/>
  <c r="W175" i="1"/>
  <c r="U175" i="1" s="1"/>
  <c r="Y175" i="1"/>
  <c r="Z175" i="1"/>
  <c r="AD175" i="1"/>
  <c r="AB175" i="1" s="1"/>
  <c r="AE175" i="1"/>
  <c r="B176" i="1"/>
  <c r="F176" i="1"/>
  <c r="J176" i="1"/>
  <c r="U176" i="1"/>
  <c r="W176" i="1"/>
  <c r="Y176" i="1"/>
  <c r="Z176" i="1"/>
  <c r="AB176" i="1"/>
  <c r="AD176" i="1"/>
  <c r="AE176" i="1"/>
  <c r="B177" i="1"/>
  <c r="F177" i="1"/>
  <c r="J177" i="1"/>
  <c r="W177" i="1"/>
  <c r="U177" i="1" s="1"/>
  <c r="Y177" i="1"/>
  <c r="Z177" i="1"/>
  <c r="AD177" i="1"/>
  <c r="AB177" i="1" s="1"/>
  <c r="AE177" i="1"/>
  <c r="B178" i="1"/>
  <c r="F178" i="1"/>
  <c r="J178" i="1"/>
  <c r="U178" i="1"/>
  <c r="W178" i="1"/>
  <c r="Y178" i="1"/>
  <c r="Z178" i="1"/>
  <c r="AD178" i="1"/>
  <c r="AB178" i="1" s="1"/>
  <c r="AE178" i="1"/>
  <c r="B179" i="1"/>
  <c r="F179" i="1"/>
  <c r="J179" i="1"/>
  <c r="W179" i="1"/>
  <c r="U179" i="1" s="1"/>
  <c r="Y179" i="1"/>
  <c r="Z179" i="1"/>
  <c r="AD179" i="1"/>
  <c r="AB179" i="1" s="1"/>
  <c r="AE179" i="1"/>
  <c r="B180" i="1"/>
  <c r="F180" i="1"/>
  <c r="J180" i="1"/>
  <c r="U180" i="1"/>
  <c r="W180" i="1"/>
  <c r="Y180" i="1"/>
  <c r="Z180" i="1"/>
  <c r="AB180" i="1"/>
  <c r="AD180" i="1"/>
  <c r="AE180" i="1"/>
  <c r="B181" i="1"/>
  <c r="F181" i="1"/>
  <c r="J181" i="1"/>
  <c r="W181" i="1"/>
  <c r="U181" i="1" s="1"/>
  <c r="Y181" i="1"/>
  <c r="Z181" i="1"/>
  <c r="AD181" i="1"/>
  <c r="AB181" i="1" s="1"/>
  <c r="AE181" i="1"/>
  <c r="B182" i="1"/>
  <c r="F182" i="1"/>
  <c r="J182" i="1"/>
  <c r="U182" i="1"/>
  <c r="W182" i="1"/>
  <c r="Y182" i="1"/>
  <c r="Z182" i="1"/>
  <c r="AD182" i="1"/>
  <c r="AB182" i="1" s="1"/>
  <c r="AE182" i="1"/>
  <c r="B183" i="1"/>
  <c r="F183" i="1"/>
  <c r="J183" i="1"/>
  <c r="W183" i="1"/>
  <c r="U183" i="1" s="1"/>
  <c r="Y183" i="1"/>
  <c r="Z183" i="1"/>
  <c r="AD183" i="1"/>
  <c r="AB183" i="1" s="1"/>
  <c r="AE183" i="1"/>
  <c r="B184" i="1"/>
  <c r="F184" i="1"/>
  <c r="J184" i="1"/>
  <c r="U184" i="1"/>
  <c r="W184" i="1"/>
  <c r="Y184" i="1"/>
  <c r="Z184" i="1"/>
  <c r="AB184" i="1"/>
  <c r="AD184" i="1"/>
  <c r="AE184" i="1"/>
  <c r="B185" i="1"/>
  <c r="F185" i="1"/>
  <c r="J185" i="1"/>
  <c r="W185" i="1"/>
  <c r="U185" i="1" s="1"/>
  <c r="Y185" i="1"/>
  <c r="Z185" i="1"/>
  <c r="AD185" i="1"/>
  <c r="AB185" i="1" s="1"/>
  <c r="AE185" i="1"/>
  <c r="B186" i="1"/>
  <c r="F186" i="1"/>
  <c r="J186" i="1"/>
  <c r="U186" i="1"/>
  <c r="W186" i="1"/>
  <c r="Y186" i="1"/>
  <c r="Z186" i="1"/>
  <c r="AD186" i="1"/>
  <c r="AB186" i="1" s="1"/>
  <c r="AE186" i="1"/>
  <c r="B187" i="1"/>
  <c r="F187" i="1"/>
  <c r="J187" i="1"/>
  <c r="W187" i="1"/>
  <c r="U187" i="1" s="1"/>
  <c r="Y187" i="1"/>
  <c r="Z187" i="1"/>
  <c r="AD187" i="1"/>
  <c r="AB187" i="1" s="1"/>
  <c r="AE187" i="1"/>
  <c r="B188" i="1"/>
  <c r="F188" i="1"/>
  <c r="J188" i="1"/>
  <c r="W188" i="1"/>
  <c r="U188" i="1" s="1"/>
  <c r="Y188" i="1"/>
  <c r="Z188" i="1"/>
  <c r="AB188" i="1"/>
  <c r="AD188" i="1"/>
  <c r="AE188" i="1"/>
  <c r="B189" i="1"/>
  <c r="F189" i="1"/>
  <c r="J189" i="1"/>
  <c r="W189" i="1"/>
  <c r="U189" i="1" s="1"/>
  <c r="Y189" i="1"/>
  <c r="Z189" i="1"/>
  <c r="AD189" i="1"/>
  <c r="AB189" i="1" s="1"/>
  <c r="AE189" i="1"/>
  <c r="B190" i="1"/>
  <c r="F190" i="1"/>
  <c r="J190" i="1"/>
  <c r="U190" i="1"/>
  <c r="W190" i="1"/>
  <c r="Y190" i="1"/>
  <c r="Z190" i="1"/>
  <c r="AD190" i="1"/>
  <c r="AB190" i="1" s="1"/>
  <c r="AE190" i="1"/>
  <c r="B191" i="1"/>
  <c r="F191" i="1"/>
  <c r="J191" i="1"/>
  <c r="W191" i="1"/>
  <c r="U191" i="1" s="1"/>
  <c r="Y191" i="1"/>
  <c r="Z191" i="1"/>
  <c r="AD191" i="1"/>
  <c r="AB191" i="1" s="1"/>
  <c r="AE191" i="1"/>
  <c r="B192" i="1"/>
  <c r="F192" i="1"/>
  <c r="J192" i="1"/>
  <c r="U192" i="1"/>
  <c r="W192" i="1"/>
  <c r="Y192" i="1"/>
  <c r="Z192" i="1"/>
  <c r="AB192" i="1"/>
  <c r="AD192" i="1"/>
  <c r="AE192" i="1"/>
  <c r="B193" i="1"/>
  <c r="F193" i="1"/>
  <c r="J193" i="1"/>
  <c r="W193" i="1"/>
  <c r="U193" i="1" s="1"/>
  <c r="Y193" i="1"/>
  <c r="Z193" i="1"/>
  <c r="AD193" i="1"/>
  <c r="AB193" i="1" s="1"/>
  <c r="AE193" i="1"/>
  <c r="B194" i="1"/>
  <c r="F194" i="1"/>
  <c r="J194" i="1"/>
  <c r="U194" i="1"/>
  <c r="W194" i="1"/>
  <c r="Y194" i="1"/>
  <c r="Z194" i="1"/>
  <c r="AD194" i="1"/>
  <c r="AB194" i="1" s="1"/>
  <c r="AE194" i="1"/>
  <c r="B195" i="1"/>
  <c r="F195" i="1"/>
  <c r="J195" i="1"/>
  <c r="W195" i="1"/>
  <c r="U195" i="1" s="1"/>
  <c r="Y195" i="1"/>
  <c r="Z195" i="1"/>
  <c r="AD195" i="1"/>
  <c r="AB195" i="1" s="1"/>
  <c r="AE195" i="1"/>
  <c r="B196" i="1"/>
  <c r="F196" i="1"/>
  <c r="J196" i="1"/>
  <c r="U196" i="1"/>
  <c r="W196" i="1"/>
  <c r="Y196" i="1"/>
  <c r="Z196" i="1"/>
  <c r="AB196" i="1"/>
  <c r="AD196" i="1"/>
  <c r="AE196" i="1"/>
  <c r="B197" i="1"/>
  <c r="F197" i="1"/>
  <c r="J197" i="1"/>
  <c r="W197" i="1"/>
  <c r="U197" i="1" s="1"/>
  <c r="Y197" i="1"/>
  <c r="Z197" i="1"/>
  <c r="AD197" i="1"/>
  <c r="AB197" i="1" s="1"/>
  <c r="AE197" i="1"/>
  <c r="B198" i="1"/>
  <c r="F198" i="1"/>
  <c r="J198" i="1"/>
  <c r="U198" i="1"/>
  <c r="W198" i="1"/>
  <c r="Y198" i="1"/>
  <c r="Z198" i="1"/>
  <c r="AD198" i="1"/>
  <c r="AB198" i="1" s="1"/>
  <c r="AE198" i="1"/>
  <c r="B199" i="1"/>
  <c r="F199" i="1"/>
  <c r="J199" i="1"/>
  <c r="W199" i="1"/>
  <c r="U199" i="1" s="1"/>
  <c r="Y199" i="1"/>
  <c r="Z199" i="1"/>
  <c r="AD199" i="1"/>
  <c r="AB199" i="1" s="1"/>
  <c r="AE199" i="1"/>
  <c r="B200" i="1"/>
  <c r="F200" i="1"/>
  <c r="J200" i="1"/>
  <c r="U200" i="1"/>
  <c r="W200" i="1"/>
  <c r="Y200" i="1"/>
  <c r="Z200" i="1"/>
  <c r="AB200" i="1"/>
  <c r="AD200" i="1"/>
  <c r="AE200" i="1"/>
  <c r="B201" i="1"/>
  <c r="F201" i="1"/>
  <c r="J201" i="1"/>
  <c r="W201" i="1"/>
  <c r="U201" i="1" s="1"/>
  <c r="Y201" i="1"/>
  <c r="Z201" i="1"/>
  <c r="AD201" i="1"/>
  <c r="AB201" i="1" s="1"/>
  <c r="AE201" i="1"/>
  <c r="B202" i="1"/>
  <c r="F202" i="1"/>
  <c r="J202" i="1"/>
  <c r="U202" i="1"/>
  <c r="W202" i="1"/>
  <c r="Y202" i="1"/>
  <c r="Z202" i="1"/>
  <c r="AD202" i="1"/>
  <c r="AB202" i="1" s="1"/>
  <c r="AE202" i="1"/>
  <c r="B203" i="1"/>
  <c r="F203" i="1"/>
  <c r="J203" i="1"/>
  <c r="W203" i="1"/>
  <c r="U203" i="1" s="1"/>
  <c r="Y203" i="1"/>
  <c r="Z203" i="1"/>
  <c r="AD203" i="1"/>
  <c r="AB203" i="1" s="1"/>
  <c r="AE203" i="1"/>
  <c r="B204" i="1"/>
  <c r="F204" i="1"/>
  <c r="J204" i="1"/>
  <c r="W204" i="1"/>
  <c r="U204" i="1" s="1"/>
  <c r="Y204" i="1"/>
  <c r="Z204" i="1"/>
  <c r="AD204" i="1"/>
  <c r="AB204" i="1" s="1"/>
  <c r="AE204" i="1"/>
  <c r="B205" i="1"/>
  <c r="F205" i="1"/>
  <c r="J205" i="1"/>
  <c r="W205" i="1"/>
  <c r="U205" i="1" s="1"/>
  <c r="Y205" i="1"/>
  <c r="Z205" i="1"/>
  <c r="AB205" i="1"/>
  <c r="AD205" i="1"/>
  <c r="AE205" i="1"/>
  <c r="B206" i="1"/>
  <c r="F206" i="1"/>
  <c r="J206" i="1"/>
  <c r="W206" i="1"/>
  <c r="U206" i="1" s="1"/>
  <c r="Y206" i="1"/>
  <c r="Z206" i="1"/>
  <c r="AD206" i="1"/>
  <c r="AB206" i="1" s="1"/>
  <c r="AE206" i="1"/>
  <c r="B207" i="1"/>
  <c r="F207" i="1"/>
  <c r="J207" i="1"/>
  <c r="W207" i="1"/>
  <c r="U207" i="1" s="1"/>
  <c r="Y207" i="1"/>
  <c r="Z207" i="1"/>
  <c r="AD207" i="1"/>
  <c r="AB207" i="1" s="1"/>
  <c r="AE207" i="1"/>
  <c r="B208" i="1"/>
  <c r="F208" i="1"/>
  <c r="J208" i="1"/>
  <c r="U208" i="1"/>
  <c r="W208" i="1"/>
  <c r="Y208" i="1"/>
  <c r="Z208" i="1"/>
  <c r="AD208" i="1"/>
  <c r="AB208" i="1" s="1"/>
  <c r="AE208" i="1"/>
  <c r="B209" i="1"/>
  <c r="F209" i="1"/>
  <c r="J209" i="1"/>
  <c r="W209" i="1"/>
  <c r="U209" i="1" s="1"/>
  <c r="Y209" i="1"/>
  <c r="Z209" i="1"/>
  <c r="AB209" i="1"/>
  <c r="AD209" i="1"/>
  <c r="AE209" i="1"/>
  <c r="B210" i="1"/>
  <c r="F210" i="1"/>
  <c r="J210" i="1"/>
  <c r="U210" i="1"/>
  <c r="W210" i="1"/>
  <c r="Y210" i="1"/>
  <c r="Z210" i="1"/>
  <c r="AD210" i="1"/>
  <c r="AB210" i="1" s="1"/>
  <c r="AE210" i="1"/>
  <c r="B211" i="1"/>
  <c r="F211" i="1"/>
  <c r="J211" i="1"/>
  <c r="W211" i="1"/>
  <c r="U211" i="1" s="1"/>
  <c r="Y211" i="1"/>
  <c r="Z211" i="1"/>
  <c r="AD211" i="1"/>
  <c r="AB211" i="1" s="1"/>
  <c r="AE211" i="1"/>
  <c r="B212" i="1"/>
  <c r="F212" i="1"/>
  <c r="J212" i="1"/>
  <c r="U212" i="1"/>
  <c r="W212" i="1"/>
  <c r="Y212" i="1"/>
  <c r="Z212" i="1"/>
  <c r="AD212" i="1"/>
  <c r="AB212" i="1" s="1"/>
  <c r="AE212" i="1"/>
  <c r="B213" i="1"/>
  <c r="F213" i="1"/>
  <c r="J213" i="1"/>
  <c r="W213" i="1"/>
  <c r="U213" i="1" s="1"/>
  <c r="Y213" i="1"/>
  <c r="Z213" i="1"/>
  <c r="AB213" i="1"/>
  <c r="AD213" i="1"/>
  <c r="AE213" i="1"/>
  <c r="B214" i="1"/>
  <c r="F214" i="1"/>
  <c r="J214" i="1"/>
  <c r="W214" i="1"/>
  <c r="U214" i="1" s="1"/>
  <c r="Y214" i="1"/>
  <c r="Z214" i="1"/>
  <c r="AB214" i="1"/>
  <c r="AD214" i="1"/>
  <c r="AE214" i="1"/>
  <c r="B215" i="1"/>
  <c r="F215" i="1"/>
  <c r="J215" i="1"/>
  <c r="W215" i="1"/>
  <c r="U215" i="1" s="1"/>
  <c r="Y215" i="1"/>
  <c r="Z215" i="1"/>
  <c r="AD215" i="1"/>
  <c r="AB215" i="1" s="1"/>
  <c r="AE215" i="1"/>
  <c r="B216" i="1"/>
  <c r="F216" i="1"/>
  <c r="J216" i="1"/>
  <c r="W216" i="1"/>
  <c r="U216" i="1" s="1"/>
  <c r="Y216" i="1"/>
  <c r="Z216" i="1"/>
  <c r="AB216" i="1"/>
  <c r="AD216" i="1"/>
  <c r="AE216" i="1"/>
  <c r="B217" i="1"/>
  <c r="F217" i="1"/>
  <c r="J217" i="1"/>
  <c r="W217" i="1"/>
  <c r="U217" i="1" s="1"/>
  <c r="Y217" i="1"/>
  <c r="Z217" i="1"/>
  <c r="AD217" i="1"/>
  <c r="AB217" i="1" s="1"/>
  <c r="AE217" i="1"/>
  <c r="B218" i="1"/>
  <c r="F218" i="1"/>
  <c r="J218" i="1"/>
  <c r="U218" i="1"/>
  <c r="W218" i="1"/>
  <c r="Y218" i="1"/>
  <c r="Z218" i="1"/>
  <c r="AD218" i="1"/>
  <c r="AB218" i="1" s="1"/>
  <c r="AE218" i="1"/>
  <c r="B219" i="1"/>
  <c r="F219" i="1"/>
  <c r="J219" i="1"/>
  <c r="W219" i="1"/>
  <c r="U219" i="1" s="1"/>
  <c r="Y219" i="1"/>
  <c r="Z219" i="1"/>
  <c r="AD219" i="1"/>
  <c r="AB219" i="1" s="1"/>
  <c r="AE219" i="1"/>
  <c r="B220" i="1"/>
  <c r="F220" i="1"/>
  <c r="J220" i="1"/>
  <c r="U220" i="1"/>
  <c r="W220" i="1"/>
  <c r="Y220" i="1"/>
  <c r="Z220" i="1"/>
  <c r="AD220" i="1"/>
  <c r="AB220" i="1" s="1"/>
  <c r="AE220" i="1"/>
  <c r="B221" i="1"/>
  <c r="F221" i="1"/>
  <c r="J221" i="1"/>
  <c r="W221" i="1"/>
  <c r="U221" i="1" s="1"/>
  <c r="Y221" i="1"/>
  <c r="Z221" i="1"/>
  <c r="AD221" i="1"/>
  <c r="AB221" i="1" s="1"/>
  <c r="AE221" i="1"/>
  <c r="B222" i="1"/>
  <c r="F222" i="1"/>
  <c r="J222" i="1"/>
  <c r="U222" i="1"/>
  <c r="W222" i="1"/>
  <c r="Y222" i="1"/>
  <c r="Z222" i="1"/>
  <c r="AD222" i="1"/>
  <c r="AB222" i="1" s="1"/>
  <c r="AE222" i="1"/>
  <c r="B223" i="1"/>
  <c r="F223" i="1"/>
  <c r="J223" i="1"/>
  <c r="W223" i="1"/>
  <c r="U223" i="1" s="1"/>
  <c r="Y223" i="1"/>
  <c r="Z223" i="1"/>
  <c r="AD223" i="1"/>
  <c r="AB223" i="1" s="1"/>
  <c r="AE223" i="1"/>
  <c r="B224" i="1"/>
  <c r="F224" i="1"/>
  <c r="J224" i="1"/>
  <c r="U224" i="1"/>
  <c r="W224" i="1"/>
  <c r="Y224" i="1"/>
  <c r="Z224" i="1"/>
  <c r="AD224" i="1"/>
  <c r="AB224" i="1" s="1"/>
  <c r="AE224" i="1"/>
  <c r="B225" i="1"/>
  <c r="F225" i="1"/>
  <c r="J225" i="1"/>
  <c r="W225" i="1"/>
  <c r="U225" i="1" s="1"/>
  <c r="Y225" i="1"/>
  <c r="Z225" i="1"/>
  <c r="AB225" i="1"/>
  <c r="AD225" i="1"/>
  <c r="AE225" i="1"/>
  <c r="B226" i="1"/>
  <c r="F226" i="1"/>
  <c r="J226" i="1"/>
  <c r="U226" i="1"/>
  <c r="W226" i="1"/>
  <c r="Y226" i="1"/>
  <c r="Z226" i="1"/>
  <c r="AB226" i="1"/>
  <c r="AD226" i="1"/>
  <c r="AE226" i="1"/>
  <c r="B227" i="1"/>
  <c r="F227" i="1"/>
  <c r="J227" i="1"/>
  <c r="W227" i="1"/>
  <c r="U227" i="1" s="1"/>
  <c r="Y227" i="1"/>
  <c r="Z227" i="1"/>
  <c r="AD227" i="1"/>
  <c r="AB227" i="1" s="1"/>
  <c r="AE227" i="1"/>
  <c r="B228" i="1"/>
  <c r="F228" i="1"/>
  <c r="J228" i="1"/>
  <c r="U228" i="1"/>
  <c r="W228" i="1"/>
  <c r="Y228" i="1"/>
  <c r="Z228" i="1"/>
  <c r="AB228" i="1"/>
  <c r="AD228" i="1"/>
  <c r="AE228" i="1"/>
  <c r="B229" i="1"/>
  <c r="F229" i="1"/>
  <c r="J229" i="1"/>
  <c r="W229" i="1"/>
  <c r="U229" i="1" s="1"/>
  <c r="Y229" i="1"/>
  <c r="Z229" i="1"/>
  <c r="AD229" i="1"/>
  <c r="AB229" i="1" s="1"/>
  <c r="AE229" i="1"/>
  <c r="B230" i="1"/>
  <c r="F230" i="1"/>
  <c r="J230" i="1"/>
  <c r="U230" i="1"/>
  <c r="W230" i="1"/>
  <c r="Y230" i="1"/>
  <c r="Z230" i="1"/>
  <c r="AB230" i="1"/>
  <c r="AD230" i="1"/>
  <c r="AE230" i="1"/>
  <c r="B231" i="1"/>
  <c r="F231" i="1"/>
  <c r="J231" i="1"/>
  <c r="W231" i="1"/>
  <c r="U231" i="1" s="1"/>
  <c r="Y231" i="1"/>
  <c r="Z231" i="1"/>
  <c r="AD231" i="1"/>
  <c r="AB231" i="1" s="1"/>
  <c r="AE231" i="1"/>
  <c r="B232" i="1"/>
  <c r="F232" i="1"/>
  <c r="J232" i="1"/>
  <c r="U232" i="1"/>
  <c r="W232" i="1"/>
  <c r="Y232" i="1"/>
  <c r="Z232" i="1"/>
  <c r="AB232" i="1"/>
  <c r="AD232" i="1"/>
  <c r="AE232" i="1"/>
  <c r="B233" i="1"/>
  <c r="F233" i="1"/>
  <c r="J233" i="1"/>
  <c r="W233" i="1"/>
  <c r="U233" i="1" s="1"/>
  <c r="Y233" i="1"/>
  <c r="Z233" i="1"/>
  <c r="AD233" i="1"/>
  <c r="AB233" i="1" s="1"/>
  <c r="AE233" i="1"/>
  <c r="B234" i="1"/>
  <c r="F234" i="1"/>
  <c r="J234" i="1"/>
  <c r="U234" i="1"/>
  <c r="W234" i="1"/>
  <c r="Y234" i="1"/>
  <c r="Z234" i="1"/>
  <c r="AD234" i="1"/>
  <c r="AB234" i="1" s="1"/>
  <c r="AE234" i="1"/>
  <c r="B235" i="1"/>
  <c r="F235" i="1"/>
  <c r="J235" i="1"/>
  <c r="W235" i="1"/>
  <c r="U235" i="1" s="1"/>
  <c r="Y235" i="1"/>
  <c r="Z235" i="1"/>
  <c r="AD235" i="1"/>
  <c r="AB235" i="1" s="1"/>
  <c r="AE235" i="1"/>
  <c r="B236" i="1"/>
  <c r="F236" i="1"/>
  <c r="J236" i="1"/>
  <c r="U236" i="1"/>
  <c r="W236" i="1"/>
  <c r="Y236" i="1"/>
  <c r="Z236" i="1"/>
  <c r="AD236" i="1"/>
  <c r="AB236" i="1" s="1"/>
  <c r="AE236" i="1"/>
  <c r="B237" i="1"/>
  <c r="F237" i="1"/>
  <c r="J237" i="1"/>
  <c r="W237" i="1"/>
  <c r="U237" i="1" s="1"/>
  <c r="Y237" i="1"/>
  <c r="Z237" i="1"/>
  <c r="AD237" i="1"/>
  <c r="AB237" i="1" s="1"/>
  <c r="AE237" i="1"/>
  <c r="B238" i="1"/>
  <c r="F238" i="1"/>
  <c r="J238" i="1"/>
  <c r="U238" i="1"/>
  <c r="W238" i="1"/>
  <c r="Y238" i="1"/>
  <c r="Z238" i="1"/>
  <c r="AD238" i="1"/>
  <c r="AB238" i="1" s="1"/>
  <c r="AE238" i="1"/>
  <c r="B239" i="1"/>
  <c r="F239" i="1"/>
  <c r="J239" i="1"/>
  <c r="W239" i="1"/>
  <c r="U239" i="1" s="1"/>
  <c r="Y239" i="1"/>
  <c r="Z239" i="1"/>
  <c r="AD239" i="1"/>
  <c r="AB239" i="1" s="1"/>
  <c r="AE239" i="1"/>
  <c r="B240" i="1"/>
  <c r="F240" i="1"/>
  <c r="J240" i="1"/>
  <c r="U240" i="1"/>
  <c r="W240" i="1"/>
  <c r="Y240" i="1"/>
  <c r="Z240" i="1"/>
  <c r="AD240" i="1"/>
  <c r="AB240" i="1" s="1"/>
  <c r="AE240" i="1"/>
  <c r="B241" i="1"/>
  <c r="F241" i="1"/>
  <c r="J241" i="1"/>
  <c r="W241" i="1"/>
  <c r="U241" i="1" s="1"/>
  <c r="Y241" i="1"/>
  <c r="Z241" i="1"/>
  <c r="AB241" i="1"/>
  <c r="AD241" i="1"/>
  <c r="AE241" i="1"/>
  <c r="B242" i="1"/>
  <c r="F242" i="1"/>
  <c r="J242" i="1"/>
  <c r="U242" i="1"/>
  <c r="W242" i="1"/>
  <c r="Y242" i="1"/>
  <c r="Z242" i="1"/>
  <c r="AB242" i="1"/>
  <c r="AD242" i="1"/>
  <c r="AE242" i="1"/>
  <c r="B243" i="1"/>
  <c r="F243" i="1"/>
  <c r="J243" i="1"/>
  <c r="W243" i="1"/>
  <c r="U243" i="1" s="1"/>
  <c r="Y243" i="1"/>
  <c r="Z243" i="1"/>
  <c r="AD243" i="1"/>
  <c r="AB243" i="1" s="1"/>
  <c r="AE243" i="1"/>
  <c r="B244" i="1"/>
  <c r="F244" i="1"/>
  <c r="J244" i="1"/>
  <c r="U244" i="1"/>
  <c r="W244" i="1"/>
  <c r="Y244" i="1"/>
  <c r="Z244" i="1"/>
  <c r="AB244" i="1"/>
  <c r="AD244" i="1"/>
  <c r="AE244" i="1"/>
  <c r="B245" i="1"/>
  <c r="F245" i="1"/>
  <c r="J245" i="1"/>
  <c r="W245" i="1"/>
  <c r="U245" i="1" s="1"/>
  <c r="Y245" i="1"/>
  <c r="Z245" i="1"/>
  <c r="AD245" i="1"/>
  <c r="AB245" i="1" s="1"/>
  <c r="AE245" i="1"/>
  <c r="B246" i="1"/>
  <c r="F246" i="1"/>
  <c r="J246" i="1"/>
  <c r="U246" i="1"/>
  <c r="W246" i="1"/>
  <c r="Y246" i="1"/>
  <c r="Z246" i="1"/>
  <c r="AB246" i="1"/>
  <c r="AD246" i="1"/>
  <c r="AE246" i="1"/>
  <c r="B247" i="1"/>
  <c r="F247" i="1"/>
  <c r="J247" i="1"/>
  <c r="W247" i="1"/>
  <c r="U247" i="1" s="1"/>
  <c r="Y247" i="1"/>
  <c r="Z247" i="1"/>
  <c r="AD247" i="1"/>
  <c r="AB247" i="1" s="1"/>
  <c r="AE247" i="1"/>
  <c r="B248" i="1"/>
  <c r="F248" i="1"/>
  <c r="J248" i="1"/>
  <c r="U248" i="1"/>
  <c r="W248" i="1"/>
  <c r="Y248" i="1"/>
  <c r="Z248" i="1"/>
  <c r="AB248" i="1"/>
  <c r="AD248" i="1"/>
  <c r="AE248" i="1"/>
  <c r="B249" i="1"/>
  <c r="F249" i="1"/>
  <c r="J249" i="1"/>
  <c r="W249" i="1"/>
  <c r="U249" i="1" s="1"/>
  <c r="Y249" i="1"/>
  <c r="Z249" i="1"/>
  <c r="AD249" i="1"/>
  <c r="AB249" i="1" s="1"/>
  <c r="AE249" i="1"/>
  <c r="B250" i="1"/>
  <c r="F250" i="1"/>
  <c r="J250" i="1"/>
  <c r="U250" i="1"/>
  <c r="W250" i="1"/>
  <c r="Y250" i="1"/>
  <c r="Z250" i="1"/>
  <c r="AD250" i="1"/>
  <c r="AB250" i="1" s="1"/>
  <c r="AE250" i="1"/>
  <c r="B251" i="1"/>
  <c r="F251" i="1"/>
  <c r="J251" i="1"/>
  <c r="W251" i="1"/>
  <c r="U251" i="1" s="1"/>
  <c r="Y251" i="1"/>
  <c r="Z251" i="1"/>
  <c r="AD251" i="1"/>
  <c r="AB251" i="1" s="1"/>
  <c r="AE251" i="1"/>
  <c r="B252" i="1"/>
  <c r="F252" i="1"/>
  <c r="J252" i="1"/>
  <c r="U252" i="1"/>
  <c r="W252" i="1"/>
  <c r="Y252" i="1"/>
  <c r="Z252" i="1"/>
  <c r="AD252" i="1"/>
  <c r="AB252" i="1" s="1"/>
  <c r="AE252" i="1"/>
  <c r="B253" i="1"/>
  <c r="F253" i="1"/>
  <c r="J253" i="1"/>
  <c r="W253" i="1"/>
  <c r="U253" i="1" s="1"/>
  <c r="Y253" i="1"/>
  <c r="Z253" i="1"/>
  <c r="AB253" i="1"/>
  <c r="AD253" i="1"/>
  <c r="AE253" i="1"/>
  <c r="B254" i="1"/>
  <c r="F254" i="1"/>
  <c r="J254" i="1"/>
  <c r="U254" i="1"/>
  <c r="W254" i="1"/>
  <c r="Y254" i="1"/>
  <c r="Z254" i="1"/>
  <c r="AD254" i="1"/>
  <c r="AB254" i="1" s="1"/>
  <c r="AE254" i="1"/>
  <c r="B255" i="1"/>
  <c r="F255" i="1"/>
  <c r="J255" i="1"/>
  <c r="W255" i="1"/>
  <c r="U255" i="1" s="1"/>
  <c r="Y255" i="1"/>
  <c r="Z255" i="1"/>
  <c r="AD255" i="1"/>
  <c r="AB255" i="1" s="1"/>
  <c r="AE255" i="1"/>
  <c r="B256" i="1"/>
  <c r="F256" i="1"/>
  <c r="J256" i="1"/>
  <c r="W256" i="1"/>
  <c r="U256" i="1" s="1"/>
  <c r="Y256" i="1"/>
  <c r="Z256" i="1"/>
  <c r="AD256" i="1"/>
  <c r="AB256" i="1" s="1"/>
  <c r="AE256" i="1"/>
  <c r="B257" i="1"/>
  <c r="F257" i="1"/>
  <c r="J257" i="1"/>
  <c r="W257" i="1"/>
  <c r="U257" i="1" s="1"/>
  <c r="Y257" i="1"/>
  <c r="Z257" i="1"/>
  <c r="AB257" i="1"/>
  <c r="AD257" i="1"/>
  <c r="AE257" i="1"/>
  <c r="B258" i="1"/>
  <c r="F258" i="1"/>
  <c r="J258" i="1"/>
  <c r="W258" i="1"/>
  <c r="U258" i="1" s="1"/>
  <c r="Y258" i="1"/>
  <c r="Z258" i="1"/>
  <c r="AD258" i="1"/>
  <c r="AB258" i="1" s="1"/>
  <c r="AE258" i="1"/>
  <c r="B259" i="1"/>
  <c r="F259" i="1"/>
  <c r="J259" i="1"/>
  <c r="W259" i="1"/>
  <c r="U259" i="1" s="1"/>
  <c r="Y259" i="1"/>
  <c r="Z259" i="1"/>
  <c r="AD259" i="1"/>
  <c r="AB259" i="1" s="1"/>
  <c r="AE259" i="1"/>
  <c r="B260" i="1"/>
  <c r="F260" i="1"/>
  <c r="J260" i="1"/>
  <c r="W260" i="1"/>
  <c r="U260" i="1" s="1"/>
  <c r="Y260" i="1"/>
  <c r="Z260" i="1"/>
  <c r="AD260" i="1"/>
  <c r="AB260" i="1" s="1"/>
  <c r="AE260" i="1"/>
  <c r="B261" i="1"/>
  <c r="F261" i="1"/>
  <c r="J261" i="1"/>
  <c r="W261" i="1"/>
  <c r="U261" i="1" s="1"/>
  <c r="Y261" i="1"/>
  <c r="Z261" i="1"/>
  <c r="AB261" i="1"/>
  <c r="AD261" i="1"/>
  <c r="AE261" i="1"/>
  <c r="B262" i="1"/>
  <c r="F262" i="1"/>
  <c r="J262" i="1"/>
  <c r="U262" i="1"/>
  <c r="W262" i="1"/>
  <c r="Y262" i="1"/>
  <c r="Z262" i="1"/>
  <c r="AB262" i="1"/>
  <c r="AD262" i="1"/>
  <c r="AE262" i="1"/>
  <c r="B263" i="1"/>
  <c r="F263" i="1"/>
  <c r="J263" i="1"/>
  <c r="W263" i="1"/>
  <c r="U263" i="1" s="1"/>
  <c r="Y263" i="1"/>
  <c r="Z263" i="1"/>
  <c r="AD263" i="1"/>
  <c r="AB263" i="1" s="1"/>
  <c r="AE263" i="1"/>
  <c r="B264" i="1"/>
  <c r="F264" i="1"/>
  <c r="J264" i="1"/>
  <c r="U264" i="1"/>
  <c r="W264" i="1"/>
  <c r="Y264" i="1"/>
  <c r="Z264" i="1"/>
  <c r="AB264" i="1"/>
  <c r="AD264" i="1"/>
  <c r="AE264" i="1"/>
  <c r="B265" i="1"/>
  <c r="F265" i="1"/>
  <c r="J265" i="1"/>
  <c r="W265" i="1"/>
  <c r="U265" i="1" s="1"/>
  <c r="Y265" i="1"/>
  <c r="Z265" i="1"/>
  <c r="AD265" i="1"/>
  <c r="AB265" i="1" s="1"/>
  <c r="AE265" i="1"/>
  <c r="B266" i="1"/>
  <c r="F266" i="1"/>
  <c r="J266" i="1"/>
  <c r="U266" i="1"/>
  <c r="W266" i="1"/>
  <c r="Y266" i="1"/>
  <c r="Z266" i="1"/>
  <c r="AB266" i="1"/>
  <c r="AD266" i="1"/>
  <c r="AE266" i="1"/>
  <c r="B267" i="1"/>
  <c r="F267" i="1"/>
  <c r="J267" i="1"/>
  <c r="W267" i="1"/>
  <c r="U267" i="1" s="1"/>
  <c r="Y267" i="1"/>
  <c r="Z267" i="1"/>
  <c r="AD267" i="1"/>
  <c r="AB267" i="1" s="1"/>
  <c r="AE267" i="1"/>
  <c r="B268" i="1"/>
  <c r="F268" i="1"/>
  <c r="J268" i="1"/>
  <c r="U268" i="1"/>
  <c r="W268" i="1"/>
  <c r="Y268" i="1"/>
  <c r="Z268" i="1"/>
  <c r="AD268" i="1"/>
  <c r="AB268" i="1" s="1"/>
  <c r="AE268" i="1"/>
  <c r="B269" i="1"/>
  <c r="F269" i="1"/>
  <c r="J269" i="1"/>
  <c r="W269" i="1"/>
  <c r="U269" i="1" s="1"/>
  <c r="Y269" i="1"/>
  <c r="Z269" i="1"/>
  <c r="AD269" i="1"/>
  <c r="AB269" i="1" s="1"/>
  <c r="AE269" i="1"/>
  <c r="B270" i="1"/>
  <c r="F270" i="1"/>
  <c r="J270" i="1"/>
  <c r="U270" i="1"/>
  <c r="W270" i="1"/>
  <c r="Y270" i="1"/>
  <c r="Z270" i="1"/>
  <c r="AD270" i="1"/>
  <c r="AB270" i="1" s="1"/>
  <c r="AE270" i="1"/>
  <c r="B271" i="1"/>
  <c r="F271" i="1"/>
  <c r="J271" i="1"/>
  <c r="W271" i="1"/>
  <c r="U271" i="1" s="1"/>
  <c r="Y271" i="1"/>
  <c r="Z271" i="1"/>
  <c r="AD271" i="1"/>
  <c r="AB271" i="1" s="1"/>
  <c r="AE271" i="1"/>
  <c r="B272" i="1"/>
  <c r="F272" i="1"/>
  <c r="J272" i="1"/>
  <c r="U272" i="1"/>
  <c r="W272" i="1"/>
  <c r="Y272" i="1"/>
  <c r="Z272" i="1"/>
  <c r="AD272" i="1"/>
  <c r="AB272" i="1" s="1"/>
  <c r="AE272" i="1"/>
  <c r="B273" i="1"/>
  <c r="F273" i="1"/>
  <c r="J273" i="1"/>
  <c r="W273" i="1"/>
  <c r="U273" i="1" s="1"/>
  <c r="Y273" i="1"/>
  <c r="Z273" i="1"/>
  <c r="AD273" i="1"/>
  <c r="AB273" i="1" s="1"/>
  <c r="AE273" i="1"/>
  <c r="B274" i="1"/>
  <c r="F274" i="1"/>
  <c r="J274" i="1"/>
  <c r="U274" i="1"/>
  <c r="W274" i="1"/>
  <c r="Y274" i="1"/>
  <c r="Z274" i="1"/>
  <c r="AB274" i="1"/>
  <c r="AD274" i="1"/>
  <c r="AE274" i="1"/>
  <c r="B275" i="1"/>
  <c r="F275" i="1"/>
  <c r="J275" i="1"/>
  <c r="W275" i="1"/>
  <c r="U275" i="1" s="1"/>
  <c r="Y275" i="1"/>
  <c r="Z275" i="1"/>
  <c r="AD275" i="1"/>
  <c r="AB275" i="1" s="1"/>
  <c r="AE275" i="1"/>
  <c r="B276" i="1"/>
  <c r="F276" i="1"/>
  <c r="J276" i="1"/>
  <c r="U276" i="1"/>
  <c r="W276" i="1"/>
  <c r="Y276" i="1"/>
  <c r="Z276" i="1"/>
  <c r="AB276" i="1"/>
  <c r="AD276" i="1"/>
  <c r="AE276" i="1"/>
  <c r="B277" i="1"/>
  <c r="F277" i="1"/>
  <c r="J277" i="1"/>
  <c r="W277" i="1"/>
  <c r="U277" i="1" s="1"/>
  <c r="Y277" i="1"/>
  <c r="Z277" i="1"/>
  <c r="AD277" i="1"/>
  <c r="AB277" i="1" s="1"/>
  <c r="AE277" i="1"/>
  <c r="B278" i="1"/>
  <c r="F278" i="1"/>
  <c r="J278" i="1"/>
  <c r="U278" i="1"/>
  <c r="W278" i="1"/>
  <c r="Y278" i="1"/>
  <c r="Z278" i="1"/>
  <c r="AD278" i="1"/>
  <c r="AB278" i="1" s="1"/>
  <c r="AE278" i="1"/>
  <c r="B279" i="1"/>
  <c r="F279" i="1"/>
  <c r="J279" i="1"/>
  <c r="W279" i="1"/>
  <c r="U279" i="1" s="1"/>
  <c r="Y279" i="1"/>
  <c r="Z279" i="1"/>
  <c r="AD279" i="1"/>
  <c r="AB279" i="1" s="1"/>
  <c r="AE279" i="1"/>
  <c r="B280" i="1"/>
  <c r="F280" i="1"/>
  <c r="J280" i="1"/>
  <c r="U280" i="1"/>
  <c r="W280" i="1"/>
  <c r="Y280" i="1"/>
  <c r="Z280" i="1"/>
  <c r="AD280" i="1"/>
  <c r="AB280" i="1" s="1"/>
  <c r="AE280" i="1"/>
  <c r="B281" i="1"/>
  <c r="F281" i="1"/>
  <c r="J281" i="1"/>
  <c r="W281" i="1"/>
  <c r="U281" i="1" s="1"/>
  <c r="Y281" i="1"/>
  <c r="Z281" i="1"/>
  <c r="AB281" i="1"/>
  <c r="AD281" i="1"/>
  <c r="AE281" i="1"/>
  <c r="B282" i="1"/>
  <c r="F282" i="1"/>
  <c r="J282" i="1"/>
  <c r="W282" i="1"/>
  <c r="U282" i="1" s="1"/>
  <c r="Y282" i="1"/>
  <c r="Z282" i="1"/>
  <c r="AD282" i="1"/>
  <c r="AB282" i="1" s="1"/>
  <c r="AE282" i="1"/>
  <c r="B283" i="1"/>
  <c r="F283" i="1"/>
  <c r="J283" i="1"/>
  <c r="W283" i="1"/>
  <c r="U283" i="1" s="1"/>
  <c r="Y283" i="1"/>
  <c r="Z283" i="1"/>
  <c r="AD283" i="1"/>
  <c r="AB283" i="1" s="1"/>
  <c r="AE283" i="1"/>
  <c r="B284" i="1"/>
  <c r="F284" i="1"/>
  <c r="J284" i="1"/>
  <c r="W284" i="1"/>
  <c r="U284" i="1" s="1"/>
  <c r="Y284" i="1"/>
  <c r="Z284" i="1"/>
  <c r="AD284" i="1"/>
  <c r="AB284" i="1" s="1"/>
  <c r="AE284" i="1"/>
  <c r="B285" i="1"/>
  <c r="F285" i="1"/>
  <c r="J285" i="1"/>
  <c r="W285" i="1"/>
  <c r="U285" i="1" s="1"/>
  <c r="Y285" i="1"/>
  <c r="Z285" i="1"/>
  <c r="AB285" i="1"/>
  <c r="AD285" i="1"/>
  <c r="AE285" i="1"/>
  <c r="B286" i="1"/>
  <c r="F286" i="1"/>
  <c r="J286" i="1"/>
  <c r="W286" i="1"/>
  <c r="U286" i="1" s="1"/>
  <c r="Y286" i="1"/>
  <c r="Z286" i="1"/>
  <c r="AD286" i="1"/>
  <c r="AB286" i="1" s="1"/>
  <c r="AE286" i="1"/>
  <c r="B287" i="1"/>
  <c r="F287" i="1"/>
  <c r="J287" i="1"/>
  <c r="W287" i="1"/>
  <c r="U287" i="1" s="1"/>
  <c r="Y287" i="1"/>
  <c r="Z287" i="1"/>
  <c r="AD287" i="1"/>
  <c r="AB287" i="1" s="1"/>
  <c r="AE287" i="1"/>
  <c r="B288" i="1"/>
  <c r="F288" i="1"/>
  <c r="J288" i="1"/>
  <c r="U288" i="1"/>
  <c r="W288" i="1"/>
  <c r="Y288" i="1"/>
  <c r="Z288" i="1"/>
  <c r="AD288" i="1"/>
  <c r="AB288" i="1" s="1"/>
  <c r="AE288" i="1"/>
  <c r="B289" i="1"/>
  <c r="F289" i="1"/>
  <c r="J289" i="1"/>
  <c r="W289" i="1"/>
  <c r="U289" i="1" s="1"/>
  <c r="Y289" i="1"/>
  <c r="Z289" i="1"/>
  <c r="AD289" i="1"/>
  <c r="AB289" i="1" s="1"/>
  <c r="AE289" i="1"/>
  <c r="B290" i="1"/>
  <c r="F290" i="1"/>
  <c r="J290" i="1"/>
  <c r="U290" i="1"/>
  <c r="W290" i="1"/>
  <c r="Y290" i="1"/>
  <c r="Z290" i="1"/>
  <c r="AB290" i="1"/>
  <c r="AD290" i="1"/>
  <c r="AE290" i="1"/>
  <c r="B291" i="1"/>
  <c r="F291" i="1"/>
  <c r="J291" i="1"/>
  <c r="W291" i="1"/>
  <c r="U291" i="1" s="1"/>
  <c r="Y291" i="1"/>
  <c r="Z291" i="1"/>
  <c r="AD291" i="1"/>
  <c r="AB291" i="1" s="1"/>
  <c r="AE291" i="1"/>
  <c r="B292" i="1"/>
  <c r="F292" i="1"/>
  <c r="J292" i="1"/>
  <c r="U292" i="1"/>
  <c r="W292" i="1"/>
  <c r="Y292" i="1"/>
  <c r="Z292" i="1"/>
  <c r="AB292" i="1"/>
  <c r="AD292" i="1"/>
  <c r="AE292" i="1"/>
  <c r="B293" i="1"/>
  <c r="F293" i="1"/>
  <c r="J293" i="1"/>
  <c r="W293" i="1"/>
  <c r="U293" i="1" s="1"/>
  <c r="Y293" i="1"/>
  <c r="Z293" i="1"/>
  <c r="AD293" i="1"/>
  <c r="AB293" i="1" s="1"/>
  <c r="AE293" i="1"/>
  <c r="B294" i="1"/>
  <c r="F294" i="1"/>
  <c r="J294" i="1"/>
  <c r="W294" i="1"/>
  <c r="U294" i="1" s="1"/>
  <c r="Y294" i="1"/>
  <c r="Z294" i="1"/>
  <c r="AD294" i="1"/>
  <c r="AB294" i="1" s="1"/>
  <c r="AE294" i="1"/>
  <c r="B295" i="1"/>
  <c r="F295" i="1"/>
  <c r="J295" i="1"/>
  <c r="W295" i="1"/>
  <c r="U295" i="1" s="1"/>
  <c r="Y295" i="1"/>
  <c r="Z295" i="1"/>
  <c r="AD295" i="1"/>
  <c r="AB295" i="1" s="1"/>
  <c r="AE295" i="1"/>
  <c r="B296" i="1"/>
  <c r="F296" i="1"/>
  <c r="J296" i="1"/>
  <c r="W296" i="1"/>
  <c r="U296" i="1" s="1"/>
  <c r="Y296" i="1"/>
  <c r="Z296" i="1"/>
  <c r="AD296" i="1"/>
  <c r="AB296" i="1" s="1"/>
  <c r="AE296" i="1"/>
  <c r="B297" i="1"/>
  <c r="F297" i="1"/>
  <c r="J297" i="1"/>
  <c r="W297" i="1"/>
  <c r="U297" i="1" s="1"/>
  <c r="Y297" i="1"/>
  <c r="Z297" i="1"/>
  <c r="AB297" i="1"/>
  <c r="AD297" i="1"/>
  <c r="AE297" i="1"/>
  <c r="B298" i="1"/>
  <c r="F298" i="1"/>
  <c r="J298" i="1"/>
  <c r="W298" i="1"/>
  <c r="U298" i="1" s="1"/>
  <c r="Y298" i="1"/>
  <c r="Z298" i="1"/>
  <c r="AD298" i="1"/>
  <c r="AB298" i="1" s="1"/>
  <c r="AE298" i="1"/>
  <c r="B299" i="1"/>
  <c r="F299" i="1"/>
  <c r="J299" i="1"/>
  <c r="W299" i="1"/>
  <c r="U299" i="1" s="1"/>
  <c r="Y299" i="1"/>
  <c r="Z299" i="1"/>
  <c r="AD299" i="1"/>
  <c r="AB299" i="1" s="1"/>
  <c r="AE299" i="1"/>
  <c r="B300" i="1"/>
  <c r="F300" i="1"/>
  <c r="J300" i="1"/>
  <c r="W300" i="1"/>
  <c r="U300" i="1" s="1"/>
  <c r="Y300" i="1"/>
  <c r="Z300" i="1"/>
  <c r="AD300" i="1"/>
  <c r="AB300" i="1" s="1"/>
  <c r="AE300" i="1"/>
  <c r="B301" i="1"/>
  <c r="F301" i="1"/>
  <c r="J301" i="1"/>
  <c r="W301" i="1"/>
  <c r="U301" i="1" s="1"/>
  <c r="Y301" i="1"/>
  <c r="Z301" i="1"/>
  <c r="AB301" i="1"/>
  <c r="AD301" i="1"/>
  <c r="AE301" i="1"/>
  <c r="B302" i="1"/>
  <c r="F302" i="1"/>
  <c r="J302" i="1"/>
  <c r="W302" i="1"/>
  <c r="U302" i="1" s="1"/>
  <c r="Y302" i="1"/>
  <c r="Z302" i="1"/>
  <c r="AD302" i="1"/>
  <c r="AB302" i="1" s="1"/>
  <c r="AE302" i="1"/>
  <c r="B303" i="1"/>
  <c r="F303" i="1"/>
  <c r="J303" i="1"/>
  <c r="W303" i="1"/>
  <c r="U303" i="1" s="1"/>
  <c r="Y303" i="1"/>
  <c r="Z303" i="1"/>
  <c r="AD303" i="1"/>
  <c r="AB303" i="1" s="1"/>
  <c r="AE303" i="1"/>
  <c r="B304" i="1"/>
  <c r="F304" i="1"/>
  <c r="J304" i="1"/>
  <c r="W304" i="1"/>
  <c r="U304" i="1" s="1"/>
  <c r="Y304" i="1"/>
  <c r="Z304" i="1"/>
  <c r="AD304" i="1"/>
  <c r="AB304" i="1" s="1"/>
  <c r="AE304" i="1"/>
  <c r="B305" i="1"/>
  <c r="F305" i="1"/>
  <c r="J305" i="1"/>
  <c r="U305" i="1"/>
  <c r="W305" i="1"/>
  <c r="Y305" i="1"/>
  <c r="Z305" i="1"/>
  <c r="AB305" i="1"/>
  <c r="AD305" i="1"/>
  <c r="AE305" i="1"/>
  <c r="B306" i="1"/>
  <c r="F306" i="1"/>
  <c r="J306" i="1"/>
  <c r="W306" i="1"/>
  <c r="U306" i="1" s="1"/>
  <c r="Y306" i="1"/>
  <c r="Z306" i="1"/>
  <c r="AD306" i="1"/>
  <c r="AB306" i="1" s="1"/>
  <c r="AE306" i="1"/>
  <c r="B307" i="1"/>
  <c r="F307" i="1"/>
  <c r="J307" i="1"/>
  <c r="U307" i="1"/>
  <c r="W307" i="1"/>
  <c r="Y307" i="1"/>
  <c r="Z307" i="1"/>
  <c r="AD307" i="1"/>
  <c r="AB307" i="1" s="1"/>
  <c r="AE307" i="1"/>
  <c r="B308" i="1"/>
  <c r="F308" i="1"/>
  <c r="J308" i="1"/>
  <c r="W308" i="1"/>
  <c r="U308" i="1" s="1"/>
  <c r="Y308" i="1"/>
  <c r="Z308" i="1"/>
  <c r="AD308" i="1"/>
  <c r="AB308" i="1" s="1"/>
  <c r="AE308" i="1"/>
  <c r="B309" i="1"/>
  <c r="F309" i="1"/>
  <c r="J309" i="1"/>
  <c r="U309" i="1"/>
  <c r="W309" i="1"/>
  <c r="Y309" i="1"/>
  <c r="Z309" i="1"/>
  <c r="AD309" i="1"/>
  <c r="AB309" i="1" s="1"/>
  <c r="AE309" i="1"/>
  <c r="B310" i="1"/>
  <c r="F310" i="1"/>
  <c r="J310" i="1"/>
  <c r="W310" i="1"/>
  <c r="U310" i="1" s="1"/>
  <c r="Y310" i="1"/>
  <c r="Z310" i="1"/>
  <c r="AD310" i="1"/>
  <c r="AB310" i="1" s="1"/>
  <c r="AE310" i="1"/>
  <c r="B311" i="1"/>
  <c r="F311" i="1"/>
  <c r="J311" i="1"/>
  <c r="U311" i="1"/>
  <c r="W311" i="1"/>
  <c r="Y311" i="1"/>
  <c r="Z311" i="1"/>
  <c r="AD311" i="1"/>
  <c r="AB311" i="1" s="1"/>
  <c r="AE311" i="1"/>
  <c r="B312" i="1"/>
  <c r="F312" i="1"/>
  <c r="J312" i="1"/>
  <c r="W312" i="1"/>
  <c r="U312" i="1" s="1"/>
  <c r="Y312" i="1"/>
  <c r="Z312" i="1"/>
  <c r="AD312" i="1"/>
  <c r="AB312" i="1" s="1"/>
  <c r="AE312" i="1"/>
  <c r="B313" i="1"/>
  <c r="F313" i="1"/>
  <c r="J313" i="1"/>
  <c r="U313" i="1"/>
  <c r="W313" i="1"/>
  <c r="Y313" i="1"/>
  <c r="Z313" i="1"/>
  <c r="AD313" i="1"/>
  <c r="AB313" i="1" s="1"/>
  <c r="AE313" i="1"/>
  <c r="B314" i="1"/>
  <c r="F314" i="1"/>
  <c r="J314" i="1"/>
  <c r="W314" i="1"/>
  <c r="U314" i="1" s="1"/>
  <c r="Y314" i="1"/>
  <c r="Z314" i="1"/>
  <c r="AD314" i="1"/>
  <c r="AB314" i="1" s="1"/>
  <c r="AE314" i="1"/>
  <c r="B315" i="1"/>
  <c r="F315" i="1"/>
  <c r="J315" i="1"/>
  <c r="U315" i="1"/>
  <c r="W315" i="1"/>
  <c r="Y315" i="1"/>
  <c r="Z315" i="1"/>
  <c r="AD315" i="1"/>
  <c r="AB315" i="1" s="1"/>
  <c r="AE315" i="1"/>
  <c r="B316" i="1"/>
  <c r="F316" i="1"/>
  <c r="J316" i="1"/>
  <c r="W316" i="1"/>
  <c r="U316" i="1" s="1"/>
  <c r="Y316" i="1"/>
  <c r="Z316" i="1"/>
  <c r="AD316" i="1"/>
  <c r="AB316" i="1" s="1"/>
  <c r="AE316" i="1"/>
  <c r="B317" i="1"/>
  <c r="F317" i="1"/>
  <c r="J317" i="1"/>
  <c r="U317" i="1"/>
  <c r="W317" i="1"/>
  <c r="Y317" i="1"/>
  <c r="Z317" i="1"/>
  <c r="AB317" i="1"/>
  <c r="AD317" i="1"/>
  <c r="AE317" i="1"/>
  <c r="B318" i="1"/>
  <c r="F318" i="1"/>
  <c r="J318" i="1"/>
  <c r="W318" i="1"/>
  <c r="U318" i="1" s="1"/>
  <c r="Y318" i="1"/>
  <c r="Z318" i="1"/>
  <c r="AD318" i="1"/>
  <c r="AB318" i="1" s="1"/>
  <c r="AE318" i="1"/>
  <c r="B319" i="1"/>
  <c r="F319" i="1"/>
  <c r="J319" i="1"/>
  <c r="U319" i="1"/>
  <c r="W319" i="1"/>
  <c r="Y319" i="1"/>
  <c r="Z319" i="1"/>
  <c r="AD319" i="1"/>
  <c r="AB319" i="1" s="1"/>
  <c r="AE319" i="1"/>
  <c r="B320" i="1"/>
  <c r="F320" i="1"/>
  <c r="J320" i="1"/>
  <c r="W320" i="1"/>
  <c r="U320" i="1" s="1"/>
  <c r="Y320" i="1"/>
  <c r="Z320" i="1"/>
  <c r="AD320" i="1"/>
  <c r="AB320" i="1" s="1"/>
  <c r="AE320" i="1"/>
  <c r="B321" i="1"/>
  <c r="F321" i="1"/>
  <c r="J321" i="1"/>
  <c r="U321" i="1"/>
  <c r="W321" i="1"/>
  <c r="Y321" i="1"/>
  <c r="Z321" i="1"/>
  <c r="AB321" i="1"/>
  <c r="AD321" i="1"/>
  <c r="AE321" i="1"/>
  <c r="B322" i="1"/>
  <c r="F322" i="1"/>
  <c r="J322" i="1"/>
  <c r="W322" i="1"/>
  <c r="U322" i="1" s="1"/>
  <c r="Y322" i="1"/>
  <c r="Z322" i="1"/>
  <c r="AD322" i="1"/>
  <c r="AB322" i="1" s="1"/>
  <c r="AE322" i="1"/>
  <c r="B323" i="1"/>
  <c r="F323" i="1"/>
  <c r="J323" i="1"/>
  <c r="U323" i="1"/>
  <c r="W323" i="1"/>
  <c r="Y323" i="1"/>
  <c r="Z323" i="1"/>
  <c r="AD323" i="1"/>
  <c r="AB323" i="1" s="1"/>
  <c r="AE323" i="1"/>
  <c r="B324" i="1"/>
  <c r="F324" i="1"/>
  <c r="J324" i="1"/>
  <c r="W324" i="1"/>
  <c r="U324" i="1" s="1"/>
  <c r="Y324" i="1"/>
  <c r="Z324" i="1"/>
  <c r="AD324" i="1"/>
  <c r="AB324" i="1" s="1"/>
  <c r="AE324" i="1"/>
  <c r="B325" i="1"/>
  <c r="F325" i="1"/>
  <c r="J325" i="1"/>
  <c r="U325" i="1"/>
  <c r="W325" i="1"/>
  <c r="Y325" i="1"/>
  <c r="Z325" i="1"/>
  <c r="AD325" i="1"/>
  <c r="AB325" i="1" s="1"/>
  <c r="AE325" i="1"/>
  <c r="B326" i="1"/>
  <c r="F326" i="1"/>
  <c r="J326" i="1"/>
  <c r="W326" i="1"/>
  <c r="U326" i="1" s="1"/>
  <c r="Y326" i="1"/>
  <c r="Z326" i="1"/>
  <c r="AD326" i="1"/>
  <c r="AB326" i="1" s="1"/>
  <c r="AE326" i="1"/>
  <c r="B327" i="1"/>
  <c r="F327" i="1"/>
  <c r="J327" i="1"/>
  <c r="U327" i="1"/>
  <c r="W327" i="1"/>
  <c r="Y327" i="1"/>
  <c r="Z327" i="1"/>
  <c r="AD327" i="1"/>
  <c r="AB327" i="1" s="1"/>
  <c r="AE327" i="1"/>
  <c r="B328" i="1"/>
  <c r="F328" i="1"/>
  <c r="J328" i="1"/>
  <c r="W328" i="1"/>
  <c r="U328" i="1" s="1"/>
  <c r="Y328" i="1"/>
  <c r="Z328" i="1"/>
  <c r="AD328" i="1"/>
  <c r="AB328" i="1" s="1"/>
  <c r="AE328" i="1"/>
  <c r="B329" i="1"/>
  <c r="F329" i="1"/>
  <c r="J329" i="1"/>
  <c r="U329" i="1"/>
  <c r="W329" i="1"/>
  <c r="Y329" i="1"/>
  <c r="Z329" i="1"/>
  <c r="AD329" i="1"/>
  <c r="AB329" i="1" s="1"/>
  <c r="AE329" i="1"/>
  <c r="B330" i="1"/>
  <c r="F330" i="1"/>
  <c r="J330" i="1"/>
  <c r="W330" i="1"/>
  <c r="U330" i="1" s="1"/>
  <c r="Y330" i="1"/>
  <c r="Z330" i="1"/>
  <c r="AD330" i="1"/>
  <c r="AB330" i="1" s="1"/>
  <c r="AE330" i="1"/>
  <c r="B331" i="1"/>
  <c r="F331" i="1"/>
  <c r="J331" i="1"/>
  <c r="U331" i="1"/>
  <c r="W331" i="1"/>
  <c r="Y331" i="1"/>
  <c r="Z331" i="1"/>
  <c r="AD331" i="1"/>
  <c r="AB331" i="1" s="1"/>
  <c r="AE331" i="1"/>
  <c r="B332" i="1"/>
  <c r="F332" i="1"/>
  <c r="J332" i="1"/>
  <c r="W332" i="1"/>
  <c r="U332" i="1" s="1"/>
  <c r="Y332" i="1"/>
  <c r="Z332" i="1"/>
  <c r="AD332" i="1"/>
  <c r="AB332" i="1" s="1"/>
  <c r="AE332" i="1"/>
  <c r="B333" i="1"/>
  <c r="F333" i="1"/>
  <c r="J333" i="1"/>
  <c r="U333" i="1"/>
  <c r="W333" i="1"/>
  <c r="Y333" i="1"/>
  <c r="Z333" i="1"/>
  <c r="AB333" i="1"/>
  <c r="AD333" i="1"/>
  <c r="AE333" i="1"/>
  <c r="B334" i="1"/>
  <c r="F334" i="1"/>
  <c r="J334" i="1"/>
  <c r="W334" i="1"/>
  <c r="U334" i="1" s="1"/>
  <c r="Y334" i="1"/>
  <c r="Z334" i="1"/>
  <c r="AD334" i="1"/>
  <c r="AB334" i="1" s="1"/>
  <c r="AE334" i="1"/>
  <c r="B335" i="1"/>
  <c r="F335" i="1"/>
  <c r="J335" i="1"/>
  <c r="U335" i="1"/>
  <c r="W335" i="1"/>
  <c r="Y335" i="1"/>
  <c r="Z335" i="1"/>
  <c r="AD335" i="1"/>
  <c r="AB335" i="1" s="1"/>
  <c r="AE335" i="1"/>
  <c r="B336" i="1"/>
  <c r="F336" i="1"/>
  <c r="J336" i="1"/>
  <c r="W336" i="1"/>
  <c r="U336" i="1" s="1"/>
  <c r="Y336" i="1"/>
  <c r="Z336" i="1"/>
  <c r="AD336" i="1"/>
  <c r="AB336" i="1" s="1"/>
  <c r="AE336" i="1"/>
  <c r="B337" i="1"/>
  <c r="F337" i="1"/>
  <c r="J337" i="1"/>
  <c r="U337" i="1"/>
  <c r="W337" i="1"/>
  <c r="Y337" i="1"/>
  <c r="Z337" i="1"/>
  <c r="AB337" i="1"/>
  <c r="AD337" i="1"/>
  <c r="AE337" i="1"/>
  <c r="B338" i="1"/>
  <c r="F338" i="1"/>
  <c r="J338" i="1"/>
  <c r="W338" i="1"/>
  <c r="U338" i="1" s="1"/>
  <c r="Y338" i="1"/>
  <c r="Z338" i="1"/>
  <c r="AD338" i="1"/>
  <c r="AB338" i="1" s="1"/>
  <c r="AE338" i="1"/>
  <c r="B339" i="1"/>
  <c r="F339" i="1"/>
  <c r="J339" i="1"/>
  <c r="U339" i="1"/>
  <c r="W339" i="1"/>
  <c r="Y339" i="1"/>
  <c r="Z339" i="1"/>
  <c r="AD339" i="1"/>
  <c r="AB339" i="1" s="1"/>
  <c r="AE339" i="1"/>
  <c r="B340" i="1"/>
  <c r="F340" i="1"/>
  <c r="J340" i="1"/>
  <c r="W340" i="1"/>
  <c r="U340" i="1" s="1"/>
  <c r="Y340" i="1"/>
  <c r="Z340" i="1"/>
  <c r="AD340" i="1"/>
  <c r="AB340" i="1" s="1"/>
  <c r="AE340" i="1"/>
  <c r="B341" i="1"/>
  <c r="F341" i="1"/>
  <c r="J341" i="1"/>
  <c r="U341" i="1"/>
  <c r="W341" i="1"/>
  <c r="Y341" i="1"/>
  <c r="Z341" i="1"/>
  <c r="AD341" i="1"/>
  <c r="AB341" i="1" s="1"/>
  <c r="AE341" i="1"/>
  <c r="B342" i="1"/>
  <c r="F342" i="1"/>
  <c r="J342" i="1"/>
  <c r="W342" i="1"/>
  <c r="U342" i="1" s="1"/>
  <c r="Y342" i="1"/>
  <c r="Z342" i="1"/>
  <c r="AD342" i="1"/>
  <c r="AB342" i="1" s="1"/>
  <c r="AE342" i="1"/>
  <c r="B343" i="1"/>
  <c r="F343" i="1"/>
  <c r="J343" i="1"/>
  <c r="U343" i="1"/>
  <c r="W343" i="1"/>
  <c r="Y343" i="1"/>
  <c r="Z343" i="1"/>
  <c r="AD343" i="1"/>
  <c r="AB343" i="1" s="1"/>
  <c r="AE343" i="1"/>
  <c r="B344" i="1"/>
  <c r="F344" i="1"/>
  <c r="J344" i="1"/>
  <c r="W344" i="1"/>
  <c r="U344" i="1" s="1"/>
  <c r="Y344" i="1"/>
  <c r="Z344" i="1"/>
  <c r="AD344" i="1"/>
  <c r="AB344" i="1" s="1"/>
  <c r="AE344" i="1"/>
  <c r="B345" i="1"/>
  <c r="F345" i="1"/>
  <c r="J345" i="1"/>
  <c r="U345" i="1"/>
  <c r="W345" i="1"/>
  <c r="Y345" i="1"/>
  <c r="Z345" i="1"/>
  <c r="AD345" i="1"/>
  <c r="AB345" i="1" s="1"/>
  <c r="AE345" i="1"/>
  <c r="B346" i="1"/>
  <c r="F346" i="1"/>
  <c r="J346" i="1"/>
  <c r="W346" i="1"/>
  <c r="U346" i="1" s="1"/>
  <c r="Y346" i="1"/>
  <c r="Z346" i="1"/>
  <c r="AD346" i="1"/>
  <c r="AB346" i="1" s="1"/>
  <c r="AE346" i="1"/>
  <c r="B347" i="1"/>
  <c r="F347" i="1"/>
  <c r="J347" i="1"/>
  <c r="U347" i="1"/>
  <c r="W347" i="1"/>
  <c r="Y347" i="1"/>
  <c r="Z347" i="1"/>
  <c r="AD347" i="1"/>
  <c r="AB347" i="1" s="1"/>
  <c r="AE347" i="1"/>
  <c r="B348" i="1"/>
  <c r="F348" i="1"/>
  <c r="J348" i="1"/>
  <c r="W348" i="1"/>
  <c r="U348" i="1" s="1"/>
  <c r="Y348" i="1"/>
  <c r="Z348" i="1"/>
  <c r="AD348" i="1"/>
  <c r="AB348" i="1" s="1"/>
  <c r="AE348" i="1"/>
  <c r="B349" i="1"/>
  <c r="F349" i="1"/>
  <c r="J349" i="1"/>
  <c r="U349" i="1"/>
  <c r="W349" i="1"/>
  <c r="Y349" i="1"/>
  <c r="Z349" i="1"/>
  <c r="AB349" i="1"/>
  <c r="AD349" i="1"/>
  <c r="AE349" i="1"/>
  <c r="B350" i="1"/>
  <c r="F350" i="1"/>
  <c r="J350" i="1"/>
  <c r="W350" i="1"/>
  <c r="U350" i="1" s="1"/>
  <c r="Y350" i="1"/>
  <c r="Z350" i="1"/>
  <c r="AD350" i="1"/>
  <c r="AB350" i="1" s="1"/>
  <c r="AE350" i="1"/>
  <c r="B351" i="1"/>
  <c r="F351" i="1"/>
  <c r="J351" i="1"/>
  <c r="U351" i="1"/>
  <c r="W351" i="1"/>
  <c r="Y351" i="1"/>
  <c r="Z351" i="1"/>
  <c r="AD351" i="1"/>
  <c r="AB351" i="1" s="1"/>
  <c r="AE351" i="1"/>
  <c r="B352" i="1"/>
  <c r="F352" i="1"/>
  <c r="J352" i="1"/>
  <c r="W352" i="1"/>
  <c r="U352" i="1" s="1"/>
  <c r="Y352" i="1"/>
  <c r="Z352" i="1"/>
  <c r="AD352" i="1"/>
  <c r="AB352" i="1" s="1"/>
  <c r="AE352" i="1"/>
  <c r="B353" i="1"/>
  <c r="F353" i="1"/>
  <c r="J353" i="1"/>
  <c r="U353" i="1"/>
  <c r="W353" i="1"/>
  <c r="Y353" i="1"/>
  <c r="Z353" i="1"/>
  <c r="AD353" i="1"/>
  <c r="AB353" i="1" s="1"/>
  <c r="AE353" i="1"/>
  <c r="B354" i="1"/>
  <c r="F354" i="1"/>
  <c r="J354" i="1"/>
  <c r="W354" i="1"/>
  <c r="U354" i="1" s="1"/>
  <c r="Y354" i="1"/>
  <c r="Z354" i="1"/>
  <c r="AD354" i="1"/>
  <c r="AB354" i="1" s="1"/>
  <c r="AE354" i="1"/>
  <c r="B355" i="1"/>
  <c r="F355" i="1"/>
  <c r="J355" i="1"/>
  <c r="W355" i="1"/>
  <c r="U355" i="1" s="1"/>
  <c r="Y355" i="1"/>
  <c r="Z355" i="1"/>
  <c r="AB355" i="1"/>
  <c r="AD355" i="1"/>
  <c r="AE355" i="1"/>
  <c r="B356" i="1"/>
  <c r="F356" i="1"/>
  <c r="J356" i="1"/>
  <c r="W356" i="1"/>
  <c r="U356" i="1" s="1"/>
  <c r="Y356" i="1"/>
  <c r="Z356" i="1"/>
  <c r="AD356" i="1"/>
  <c r="AB356" i="1" s="1"/>
  <c r="AE356" i="1"/>
  <c r="B357" i="1"/>
  <c r="F357" i="1"/>
  <c r="J357" i="1"/>
  <c r="U357" i="1"/>
  <c r="W357" i="1"/>
  <c r="Y357" i="1"/>
  <c r="Z357" i="1"/>
  <c r="AD357" i="1"/>
  <c r="AB357" i="1" s="1"/>
  <c r="AE357" i="1"/>
  <c r="B358" i="1"/>
  <c r="F358" i="1"/>
  <c r="J358" i="1"/>
  <c r="W358" i="1"/>
  <c r="U358" i="1" s="1"/>
  <c r="Y358" i="1"/>
  <c r="Z358" i="1"/>
  <c r="AD358" i="1"/>
  <c r="AB358" i="1" s="1"/>
  <c r="AE358" i="1"/>
  <c r="B359" i="1"/>
  <c r="F359" i="1"/>
  <c r="J359" i="1"/>
  <c r="U359" i="1"/>
  <c r="W359" i="1"/>
  <c r="Y359" i="1"/>
  <c r="Z359" i="1"/>
  <c r="AB359" i="1"/>
  <c r="AD359" i="1"/>
  <c r="AE359" i="1"/>
  <c r="B360" i="1"/>
  <c r="F360" i="1"/>
  <c r="J360" i="1"/>
  <c r="W360" i="1"/>
  <c r="U360" i="1" s="1"/>
  <c r="Y360" i="1"/>
  <c r="Z360" i="1"/>
  <c r="AD360" i="1"/>
  <c r="AB360" i="1" s="1"/>
  <c r="AE360" i="1"/>
  <c r="B361" i="1"/>
  <c r="F361" i="1"/>
  <c r="J361" i="1"/>
  <c r="U361" i="1"/>
  <c r="W361" i="1"/>
  <c r="Y361" i="1"/>
  <c r="Z361" i="1"/>
  <c r="AD361" i="1"/>
  <c r="AB361" i="1" s="1"/>
  <c r="AE361" i="1"/>
  <c r="B362" i="1"/>
  <c r="F362" i="1"/>
  <c r="J362" i="1"/>
  <c r="W362" i="1"/>
  <c r="U362" i="1" s="1"/>
  <c r="Y362" i="1"/>
  <c r="Z362" i="1"/>
  <c r="AD362" i="1"/>
  <c r="AB362" i="1" s="1"/>
  <c r="AE362" i="1"/>
  <c r="B363" i="1"/>
  <c r="F363" i="1"/>
  <c r="J363" i="1"/>
  <c r="U363" i="1"/>
  <c r="W363" i="1"/>
  <c r="Y363" i="1"/>
  <c r="Z363" i="1"/>
  <c r="AB363" i="1"/>
  <c r="AD363" i="1"/>
  <c r="AE363" i="1"/>
  <c r="B364" i="1"/>
  <c r="F364" i="1"/>
  <c r="J364" i="1"/>
  <c r="W364" i="1"/>
  <c r="U364" i="1" s="1"/>
  <c r="Y364" i="1"/>
  <c r="Z364" i="1"/>
  <c r="AD364" i="1"/>
  <c r="AB364" i="1" s="1"/>
  <c r="AE364" i="1"/>
  <c r="B365" i="1"/>
  <c r="F365" i="1"/>
  <c r="J365" i="1"/>
  <c r="U365" i="1"/>
  <c r="W365" i="1"/>
  <c r="Y365" i="1"/>
  <c r="Z365" i="1"/>
  <c r="AD365" i="1"/>
  <c r="AB365" i="1" s="1"/>
  <c r="AE365" i="1"/>
  <c r="B366" i="1"/>
  <c r="F366" i="1"/>
  <c r="J366" i="1"/>
  <c r="W366" i="1"/>
  <c r="U366" i="1" s="1"/>
  <c r="Y366" i="1"/>
  <c r="Z366" i="1"/>
  <c r="AD366" i="1"/>
  <c r="AB366" i="1" s="1"/>
  <c r="AE366" i="1"/>
  <c r="B367" i="1"/>
  <c r="F367" i="1"/>
  <c r="J367" i="1"/>
  <c r="W367" i="1"/>
  <c r="U367" i="1" s="1"/>
  <c r="Y367" i="1"/>
  <c r="Z367" i="1"/>
  <c r="AB367" i="1"/>
  <c r="AD367" i="1"/>
  <c r="AE367" i="1"/>
  <c r="B368" i="1"/>
  <c r="F368" i="1"/>
  <c r="J368" i="1"/>
  <c r="W368" i="1"/>
  <c r="U368" i="1" s="1"/>
  <c r="Y368" i="1"/>
  <c r="Z368" i="1"/>
  <c r="AD368" i="1"/>
  <c r="AB368" i="1" s="1"/>
  <c r="AE368" i="1"/>
  <c r="B369" i="1"/>
  <c r="F369" i="1"/>
  <c r="J369" i="1"/>
  <c r="U369" i="1"/>
  <c r="W369" i="1"/>
  <c r="Y369" i="1"/>
  <c r="Z369" i="1"/>
  <c r="AD369" i="1"/>
  <c r="AB369" i="1" s="1"/>
  <c r="AE369" i="1"/>
  <c r="B370" i="1"/>
  <c r="F370" i="1"/>
  <c r="J370" i="1"/>
  <c r="W370" i="1"/>
  <c r="U370" i="1" s="1"/>
  <c r="Y370" i="1"/>
  <c r="Z370" i="1"/>
  <c r="AD370" i="1"/>
  <c r="AB370" i="1" s="1"/>
  <c r="AE370" i="1"/>
  <c r="B371" i="1"/>
  <c r="F371" i="1"/>
  <c r="J371" i="1"/>
  <c r="W371" i="1"/>
  <c r="U371" i="1" s="1"/>
  <c r="Y371" i="1"/>
  <c r="Z371" i="1"/>
  <c r="AB371" i="1"/>
  <c r="AD371" i="1"/>
  <c r="AE371" i="1"/>
  <c r="B372" i="1"/>
  <c r="F372" i="1"/>
  <c r="J372" i="1"/>
  <c r="W372" i="1"/>
  <c r="U372" i="1" s="1"/>
  <c r="Y372" i="1"/>
  <c r="Z372" i="1"/>
  <c r="AD372" i="1"/>
  <c r="AB372" i="1" s="1"/>
  <c r="AE372" i="1"/>
  <c r="B373" i="1"/>
  <c r="F373" i="1"/>
  <c r="J373" i="1"/>
  <c r="U373" i="1"/>
  <c r="W373" i="1"/>
  <c r="Y373" i="1"/>
  <c r="Z373" i="1"/>
  <c r="AD373" i="1"/>
  <c r="AB373" i="1" s="1"/>
  <c r="AE373" i="1"/>
  <c r="B374" i="1"/>
  <c r="F374" i="1"/>
  <c r="J374" i="1"/>
  <c r="W374" i="1"/>
  <c r="U374" i="1" s="1"/>
  <c r="Y374" i="1"/>
  <c r="Z374" i="1"/>
  <c r="AD374" i="1"/>
  <c r="AB374" i="1" s="1"/>
  <c r="AE374" i="1"/>
  <c r="B375" i="1"/>
  <c r="F375" i="1"/>
  <c r="J375" i="1"/>
  <c r="U375" i="1"/>
  <c r="W375" i="1"/>
  <c r="Y375" i="1"/>
  <c r="Z375" i="1"/>
  <c r="AB375" i="1"/>
  <c r="AD375" i="1"/>
  <c r="AE375" i="1"/>
  <c r="B376" i="1"/>
  <c r="F376" i="1"/>
  <c r="J376" i="1"/>
  <c r="W376" i="1"/>
  <c r="U376" i="1" s="1"/>
  <c r="Y376" i="1"/>
  <c r="Z376" i="1"/>
  <c r="AD376" i="1"/>
  <c r="AB376" i="1" s="1"/>
  <c r="AE376" i="1"/>
  <c r="B377" i="1"/>
  <c r="F377" i="1"/>
  <c r="J377" i="1"/>
  <c r="U377" i="1"/>
  <c r="W377" i="1"/>
  <c r="Y377" i="1"/>
  <c r="Z377" i="1"/>
  <c r="AD377" i="1"/>
  <c r="AB377" i="1" s="1"/>
  <c r="AE377" i="1"/>
  <c r="B378" i="1"/>
  <c r="F378" i="1"/>
  <c r="J378" i="1"/>
  <c r="W378" i="1"/>
  <c r="U378" i="1" s="1"/>
  <c r="Y378" i="1"/>
  <c r="Z378" i="1"/>
  <c r="AD378" i="1"/>
  <c r="AB378" i="1" s="1"/>
  <c r="AE378" i="1"/>
  <c r="B379" i="1"/>
  <c r="F379" i="1"/>
  <c r="J379" i="1"/>
  <c r="U379" i="1"/>
  <c r="W379" i="1"/>
  <c r="Y379" i="1"/>
  <c r="Z379" i="1"/>
  <c r="AB379" i="1"/>
  <c r="AD379" i="1"/>
  <c r="AE379" i="1"/>
  <c r="B380" i="1"/>
  <c r="F380" i="1"/>
  <c r="J380" i="1"/>
  <c r="W380" i="1"/>
  <c r="U380" i="1" s="1"/>
  <c r="Y380" i="1"/>
  <c r="Z380" i="1"/>
  <c r="AD380" i="1"/>
  <c r="AB380" i="1" s="1"/>
  <c r="AE380" i="1"/>
  <c r="B381" i="1"/>
  <c r="F381" i="1"/>
  <c r="J381" i="1"/>
  <c r="U381" i="1"/>
  <c r="W381" i="1"/>
  <c r="Y381" i="1"/>
  <c r="Z381" i="1"/>
  <c r="AD381" i="1"/>
  <c r="AB381" i="1" s="1"/>
  <c r="AE381" i="1"/>
  <c r="B382" i="1"/>
  <c r="F382" i="1"/>
  <c r="J382" i="1"/>
  <c r="W382" i="1"/>
  <c r="U382" i="1" s="1"/>
  <c r="Y382" i="1"/>
  <c r="Z382" i="1"/>
  <c r="AD382" i="1"/>
  <c r="AB382" i="1" s="1"/>
  <c r="AE382" i="1"/>
  <c r="B383" i="1"/>
  <c r="F383" i="1"/>
  <c r="J383" i="1"/>
  <c r="W383" i="1"/>
  <c r="U383" i="1" s="1"/>
  <c r="Y383" i="1"/>
  <c r="Z383" i="1"/>
  <c r="AD383" i="1"/>
  <c r="AB383" i="1" s="1"/>
  <c r="AE383" i="1"/>
  <c r="B384" i="1"/>
  <c r="F384" i="1"/>
  <c r="J384" i="1"/>
  <c r="W384" i="1"/>
  <c r="U384" i="1" s="1"/>
  <c r="Y384" i="1"/>
  <c r="Z384" i="1"/>
  <c r="AB384" i="1"/>
  <c r="AD384" i="1"/>
  <c r="AE384" i="1"/>
  <c r="B385" i="1"/>
  <c r="F385" i="1"/>
  <c r="J385" i="1"/>
  <c r="W385" i="1"/>
  <c r="U385" i="1" s="1"/>
  <c r="Y385" i="1"/>
  <c r="Z385" i="1"/>
  <c r="AD385" i="1"/>
  <c r="AB385" i="1" s="1"/>
  <c r="AE385" i="1"/>
  <c r="B386" i="1"/>
  <c r="F386" i="1"/>
  <c r="J386" i="1"/>
  <c r="W386" i="1"/>
  <c r="U386" i="1" s="1"/>
  <c r="Y386" i="1"/>
  <c r="Z386" i="1"/>
  <c r="AD386" i="1"/>
  <c r="AB386" i="1" s="1"/>
  <c r="AE386" i="1"/>
  <c r="B387" i="1"/>
  <c r="F387" i="1"/>
  <c r="J387" i="1"/>
  <c r="W387" i="1"/>
  <c r="U387" i="1" s="1"/>
  <c r="Y387" i="1"/>
  <c r="Z387" i="1"/>
  <c r="AD387" i="1"/>
  <c r="AB387" i="1" s="1"/>
  <c r="AE387" i="1"/>
  <c r="B388" i="1"/>
  <c r="F388" i="1"/>
  <c r="J388" i="1"/>
  <c r="W388" i="1"/>
  <c r="U388" i="1" s="1"/>
  <c r="Y388" i="1"/>
  <c r="Z388" i="1"/>
  <c r="AB388" i="1"/>
  <c r="AD388" i="1"/>
  <c r="AE388" i="1"/>
  <c r="B389" i="1"/>
  <c r="F389" i="1"/>
  <c r="J389" i="1"/>
  <c r="W389" i="1"/>
  <c r="U389" i="1" s="1"/>
  <c r="Y389" i="1"/>
  <c r="Z389" i="1"/>
  <c r="AD389" i="1"/>
  <c r="AB389" i="1" s="1"/>
  <c r="AE389" i="1"/>
  <c r="B390" i="1"/>
  <c r="F390" i="1"/>
  <c r="J390" i="1"/>
  <c r="W390" i="1"/>
  <c r="U390" i="1" s="1"/>
  <c r="Y390" i="1"/>
  <c r="Z390" i="1"/>
  <c r="AD390" i="1"/>
  <c r="AB390" i="1" s="1"/>
  <c r="AE390" i="1"/>
  <c r="B391" i="1"/>
  <c r="F391" i="1"/>
  <c r="J391" i="1"/>
  <c r="W391" i="1"/>
  <c r="U391" i="1" s="1"/>
  <c r="Y391" i="1"/>
  <c r="Z391" i="1"/>
  <c r="AD391" i="1"/>
  <c r="AB391" i="1" s="1"/>
  <c r="AE391" i="1"/>
  <c r="B392" i="1"/>
  <c r="F392" i="1"/>
  <c r="J392" i="1"/>
  <c r="W392" i="1"/>
  <c r="U392" i="1" s="1"/>
  <c r="Y392" i="1"/>
  <c r="Z392" i="1"/>
  <c r="AB392" i="1"/>
  <c r="AD392" i="1"/>
  <c r="AE392" i="1"/>
  <c r="B393" i="1"/>
  <c r="F393" i="1"/>
  <c r="J393" i="1"/>
  <c r="W393" i="1"/>
  <c r="U393" i="1" s="1"/>
  <c r="Y393" i="1"/>
  <c r="Z393" i="1"/>
  <c r="AD393" i="1"/>
  <c r="AB393" i="1" s="1"/>
  <c r="AE393" i="1"/>
  <c r="B394" i="1"/>
  <c r="F394" i="1"/>
  <c r="J394" i="1"/>
  <c r="W394" i="1"/>
  <c r="U394" i="1" s="1"/>
  <c r="Y394" i="1"/>
  <c r="Z394" i="1"/>
  <c r="AD394" i="1"/>
  <c r="AB394" i="1" s="1"/>
  <c r="AE394" i="1"/>
  <c r="B395" i="1"/>
  <c r="F395" i="1"/>
  <c r="J395" i="1"/>
  <c r="W395" i="1"/>
  <c r="U395" i="1" s="1"/>
  <c r="Y395" i="1"/>
  <c r="Z395" i="1"/>
  <c r="AD395" i="1"/>
  <c r="AB395" i="1" s="1"/>
  <c r="AE395" i="1"/>
  <c r="B396" i="1"/>
  <c r="F396" i="1"/>
  <c r="J396" i="1"/>
  <c r="W396" i="1"/>
  <c r="U396" i="1" s="1"/>
  <c r="Y396" i="1"/>
  <c r="Z396" i="1"/>
  <c r="AB396" i="1"/>
  <c r="AD396" i="1"/>
  <c r="AE396" i="1"/>
  <c r="B397" i="1"/>
  <c r="F397" i="1"/>
  <c r="J397" i="1"/>
  <c r="W397" i="1"/>
  <c r="U397" i="1" s="1"/>
  <c r="Y397" i="1"/>
  <c r="Z397" i="1"/>
  <c r="AD397" i="1"/>
  <c r="AB397" i="1" s="1"/>
  <c r="AE397" i="1"/>
  <c r="B398" i="1"/>
  <c r="F398" i="1"/>
  <c r="J398" i="1"/>
  <c r="W398" i="1"/>
  <c r="U398" i="1" s="1"/>
  <c r="Y398" i="1"/>
  <c r="Z398" i="1"/>
  <c r="AD398" i="1"/>
  <c r="AB398" i="1" s="1"/>
  <c r="AE398" i="1"/>
  <c r="B399" i="1"/>
  <c r="F399" i="1"/>
  <c r="J399" i="1"/>
  <c r="W399" i="1"/>
  <c r="U399" i="1" s="1"/>
  <c r="Y399" i="1"/>
  <c r="Z399" i="1"/>
  <c r="AD399" i="1"/>
  <c r="AB399" i="1" s="1"/>
  <c r="AE399" i="1"/>
  <c r="B400" i="1"/>
  <c r="F400" i="1"/>
  <c r="J400" i="1"/>
  <c r="W400" i="1"/>
  <c r="U400" i="1" s="1"/>
  <c r="Y400" i="1"/>
  <c r="Z400" i="1"/>
  <c r="AB400" i="1"/>
  <c r="AD400" i="1"/>
  <c r="AE400" i="1"/>
  <c r="B401" i="1"/>
  <c r="F401" i="1"/>
  <c r="J401" i="1"/>
  <c r="W401" i="1"/>
  <c r="U401" i="1" s="1"/>
  <c r="Y401" i="1"/>
  <c r="Z401" i="1"/>
  <c r="AD401" i="1"/>
  <c r="AB401" i="1" s="1"/>
  <c r="AE401" i="1"/>
  <c r="B402" i="1"/>
  <c r="F402" i="1"/>
  <c r="J402" i="1"/>
  <c r="W402" i="1"/>
  <c r="U402" i="1" s="1"/>
  <c r="Y402" i="1"/>
  <c r="Z402" i="1"/>
  <c r="AD402" i="1"/>
  <c r="AB402" i="1" s="1"/>
  <c r="AE402" i="1"/>
  <c r="B403" i="1"/>
  <c r="F403" i="1"/>
  <c r="J403" i="1"/>
  <c r="W403" i="1"/>
  <c r="U403" i="1" s="1"/>
  <c r="Y403" i="1"/>
  <c r="Z403" i="1"/>
  <c r="AD403" i="1"/>
  <c r="AB403" i="1" s="1"/>
  <c r="AE403" i="1"/>
  <c r="B404" i="1"/>
  <c r="F404" i="1"/>
  <c r="J404" i="1"/>
  <c r="W404" i="1"/>
  <c r="U404" i="1" s="1"/>
  <c r="Y404" i="1"/>
  <c r="Z404" i="1"/>
  <c r="AB404" i="1"/>
  <c r="AD404" i="1"/>
  <c r="AE404" i="1"/>
  <c r="B405" i="1"/>
  <c r="F405" i="1"/>
  <c r="J405" i="1"/>
  <c r="W405" i="1"/>
  <c r="U405" i="1" s="1"/>
  <c r="Y405" i="1"/>
  <c r="Z405" i="1"/>
  <c r="AD405" i="1"/>
  <c r="AB405" i="1" s="1"/>
  <c r="AE405" i="1"/>
  <c r="B406" i="1"/>
  <c r="F406" i="1"/>
  <c r="J406" i="1"/>
  <c r="W406" i="1"/>
  <c r="U406" i="1" s="1"/>
  <c r="Y406" i="1"/>
  <c r="Z406" i="1"/>
  <c r="AD406" i="1"/>
  <c r="AB406" i="1" s="1"/>
  <c r="AE406" i="1"/>
  <c r="B407" i="1"/>
  <c r="F407" i="1"/>
  <c r="J407" i="1"/>
  <c r="W407" i="1"/>
  <c r="U407" i="1" s="1"/>
  <c r="Y407" i="1"/>
  <c r="Z407" i="1"/>
  <c r="AD407" i="1"/>
  <c r="AB407" i="1" s="1"/>
  <c r="AE407" i="1"/>
  <c r="B408" i="1"/>
  <c r="F408" i="1"/>
  <c r="J408" i="1"/>
  <c r="W408" i="1"/>
  <c r="U408" i="1" s="1"/>
  <c r="Y408" i="1"/>
  <c r="Z408" i="1"/>
  <c r="AB408" i="1"/>
  <c r="AD408" i="1"/>
  <c r="AE408" i="1"/>
  <c r="B409" i="1"/>
  <c r="F409" i="1"/>
  <c r="J409" i="1"/>
  <c r="W409" i="1"/>
  <c r="U409" i="1" s="1"/>
  <c r="Y409" i="1"/>
  <c r="Z409" i="1"/>
  <c r="AD409" i="1"/>
  <c r="AB409" i="1" s="1"/>
  <c r="AE409" i="1"/>
  <c r="B410" i="1"/>
  <c r="F410" i="1"/>
  <c r="J410" i="1"/>
  <c r="W410" i="1"/>
  <c r="U410" i="1" s="1"/>
  <c r="Y410" i="1"/>
  <c r="Z410" i="1"/>
  <c r="AD410" i="1"/>
  <c r="AB410" i="1" s="1"/>
  <c r="AE410" i="1"/>
  <c r="B411" i="1"/>
  <c r="F411" i="1"/>
  <c r="J411" i="1"/>
  <c r="W411" i="1"/>
  <c r="U411" i="1" s="1"/>
  <c r="Y411" i="1"/>
  <c r="Z411" i="1"/>
  <c r="AD411" i="1"/>
  <c r="AB411" i="1" s="1"/>
  <c r="AE411" i="1"/>
  <c r="B412" i="1"/>
  <c r="F412" i="1"/>
  <c r="J412" i="1"/>
  <c r="W412" i="1"/>
  <c r="U412" i="1" s="1"/>
  <c r="Y412" i="1"/>
  <c r="Z412" i="1"/>
  <c r="AB412" i="1"/>
  <c r="AD412" i="1"/>
  <c r="AE412" i="1"/>
  <c r="B413" i="1"/>
  <c r="F413" i="1"/>
  <c r="J413" i="1"/>
  <c r="W413" i="1"/>
  <c r="U413" i="1" s="1"/>
  <c r="Y413" i="1"/>
  <c r="Z413" i="1"/>
  <c r="AD413" i="1"/>
  <c r="AB413" i="1" s="1"/>
  <c r="AE413" i="1"/>
  <c r="B414" i="1"/>
  <c r="F414" i="1"/>
  <c r="J414" i="1"/>
  <c r="W414" i="1"/>
  <c r="U414" i="1" s="1"/>
  <c r="Y414" i="1"/>
  <c r="Z414" i="1"/>
  <c r="AD414" i="1"/>
  <c r="AB414" i="1" s="1"/>
  <c r="AE414" i="1"/>
  <c r="B415" i="1"/>
  <c r="F415" i="1"/>
  <c r="J415" i="1"/>
  <c r="W415" i="1"/>
  <c r="U415" i="1" s="1"/>
  <c r="Y415" i="1"/>
  <c r="Z415" i="1"/>
  <c r="AD415" i="1"/>
  <c r="AB415" i="1" s="1"/>
  <c r="AE415" i="1"/>
  <c r="B416" i="1"/>
  <c r="F416" i="1"/>
  <c r="J416" i="1"/>
  <c r="W416" i="1"/>
  <c r="U416" i="1" s="1"/>
  <c r="Y416" i="1"/>
  <c r="Z416" i="1"/>
  <c r="AB416" i="1"/>
  <c r="AD416" i="1"/>
  <c r="AE416" i="1"/>
  <c r="B417" i="1"/>
  <c r="F417" i="1"/>
  <c r="J417" i="1"/>
  <c r="W417" i="1"/>
  <c r="U417" i="1" s="1"/>
  <c r="Y417" i="1"/>
  <c r="Z417" i="1"/>
  <c r="AD417" i="1"/>
  <c r="AB417" i="1" s="1"/>
  <c r="AE417" i="1"/>
  <c r="B418" i="1"/>
  <c r="F418" i="1"/>
  <c r="J418" i="1"/>
  <c r="W418" i="1"/>
  <c r="U418" i="1" s="1"/>
  <c r="Y418" i="1"/>
  <c r="Z418" i="1"/>
  <c r="AD418" i="1"/>
  <c r="AB418" i="1" s="1"/>
  <c r="AE418" i="1"/>
  <c r="B419" i="1"/>
  <c r="F419" i="1"/>
  <c r="J419" i="1"/>
  <c r="W419" i="1"/>
  <c r="U419" i="1" s="1"/>
  <c r="Y419" i="1"/>
  <c r="Z419" i="1"/>
  <c r="AD419" i="1"/>
  <c r="AB419" i="1" s="1"/>
  <c r="AE419" i="1"/>
  <c r="B420" i="1"/>
  <c r="F420" i="1"/>
  <c r="J420" i="1"/>
  <c r="W420" i="1"/>
  <c r="U420" i="1" s="1"/>
  <c r="Y420" i="1"/>
  <c r="Z420" i="1"/>
  <c r="AB420" i="1"/>
  <c r="AD420" i="1"/>
  <c r="AE420" i="1"/>
  <c r="B421" i="1"/>
  <c r="F421" i="1"/>
  <c r="J421" i="1"/>
  <c r="W421" i="1"/>
  <c r="U421" i="1" s="1"/>
  <c r="Y421" i="1"/>
  <c r="Z421" i="1"/>
  <c r="AD421" i="1"/>
  <c r="AB421" i="1" s="1"/>
  <c r="AE421" i="1"/>
  <c r="B422" i="1"/>
  <c r="F422" i="1"/>
  <c r="J422" i="1"/>
  <c r="W422" i="1"/>
  <c r="U422" i="1" s="1"/>
  <c r="Y422" i="1"/>
  <c r="Z422" i="1"/>
  <c r="AD422" i="1"/>
  <c r="AB422" i="1" s="1"/>
  <c r="AE422" i="1"/>
  <c r="B423" i="1"/>
  <c r="F423" i="1"/>
  <c r="J423" i="1"/>
  <c r="W423" i="1"/>
  <c r="U423" i="1" s="1"/>
  <c r="Y423" i="1"/>
  <c r="Z423" i="1"/>
  <c r="AD423" i="1"/>
  <c r="AB423" i="1" s="1"/>
  <c r="AE423" i="1"/>
  <c r="B424" i="1"/>
  <c r="F424" i="1"/>
  <c r="J424" i="1"/>
  <c r="W424" i="1"/>
  <c r="U424" i="1" s="1"/>
  <c r="Y424" i="1"/>
  <c r="Z424" i="1"/>
  <c r="AD424" i="1"/>
  <c r="AB424" i="1" s="1"/>
  <c r="AE424" i="1"/>
  <c r="B425" i="1"/>
  <c r="F425" i="1"/>
  <c r="J425" i="1"/>
  <c r="W425" i="1"/>
  <c r="U425" i="1" s="1"/>
  <c r="Y425" i="1"/>
  <c r="Z425" i="1"/>
  <c r="AD425" i="1"/>
  <c r="AB425" i="1" s="1"/>
  <c r="AE425" i="1"/>
  <c r="B426" i="1"/>
  <c r="F426" i="1"/>
  <c r="J426" i="1"/>
  <c r="W426" i="1"/>
  <c r="U426" i="1" s="1"/>
  <c r="Y426" i="1"/>
  <c r="Z426" i="1"/>
  <c r="AD426" i="1"/>
  <c r="AB426" i="1" s="1"/>
  <c r="AE426" i="1"/>
  <c r="B427" i="1"/>
  <c r="F427" i="1"/>
  <c r="J427" i="1"/>
  <c r="W427" i="1"/>
  <c r="U427" i="1" s="1"/>
  <c r="Y427" i="1"/>
  <c r="Z427" i="1"/>
  <c r="AD427" i="1"/>
  <c r="AB427" i="1" s="1"/>
  <c r="AE427" i="1"/>
  <c r="B428" i="1"/>
  <c r="F428" i="1"/>
  <c r="J428" i="1"/>
  <c r="W428" i="1"/>
  <c r="U428" i="1" s="1"/>
  <c r="Y428" i="1"/>
  <c r="Z428" i="1"/>
  <c r="AB428" i="1"/>
  <c r="AD428" i="1"/>
  <c r="AE428" i="1"/>
  <c r="B429" i="1"/>
  <c r="F429" i="1"/>
  <c r="J429" i="1"/>
  <c r="U429" i="1"/>
  <c r="W429" i="1"/>
  <c r="Y429" i="1"/>
  <c r="Z429" i="1"/>
  <c r="AD429" i="1"/>
  <c r="AB429" i="1" s="1"/>
  <c r="AE429" i="1"/>
  <c r="B430" i="1"/>
  <c r="F430" i="1"/>
  <c r="J430" i="1"/>
  <c r="W430" i="1"/>
  <c r="U430" i="1" s="1"/>
  <c r="Y430" i="1"/>
  <c r="Z430" i="1"/>
  <c r="AD430" i="1"/>
  <c r="AB430" i="1" s="1"/>
  <c r="AE430" i="1"/>
  <c r="B431" i="1"/>
  <c r="F431" i="1"/>
  <c r="J431" i="1"/>
  <c r="W431" i="1"/>
  <c r="U431" i="1" s="1"/>
  <c r="Y431" i="1"/>
  <c r="Z431" i="1"/>
  <c r="AD431" i="1"/>
  <c r="AB431" i="1" s="1"/>
  <c r="AE431" i="1"/>
  <c r="B432" i="1"/>
  <c r="F432" i="1"/>
  <c r="J432" i="1"/>
  <c r="W432" i="1"/>
  <c r="U432" i="1" s="1"/>
  <c r="Y432" i="1"/>
  <c r="Z432" i="1"/>
  <c r="AB432" i="1"/>
  <c r="AD432" i="1"/>
  <c r="AE432" i="1"/>
  <c r="B433" i="1"/>
  <c r="F433" i="1"/>
  <c r="J433" i="1"/>
  <c r="W433" i="1"/>
  <c r="U433" i="1" s="1"/>
  <c r="Y433" i="1"/>
  <c r="Z433" i="1"/>
  <c r="AD433" i="1"/>
  <c r="AB433" i="1" s="1"/>
  <c r="AE433" i="1"/>
  <c r="B434" i="1"/>
  <c r="F434" i="1"/>
  <c r="J434" i="1"/>
  <c r="W434" i="1"/>
  <c r="U434" i="1" s="1"/>
  <c r="Y434" i="1"/>
  <c r="Z434" i="1"/>
  <c r="AD434" i="1"/>
  <c r="AB434" i="1" s="1"/>
  <c r="AE434" i="1"/>
  <c r="B435" i="1"/>
  <c r="F435" i="1"/>
  <c r="J435" i="1"/>
  <c r="W435" i="1"/>
  <c r="U435" i="1" s="1"/>
  <c r="Y435" i="1"/>
  <c r="Z435" i="1"/>
  <c r="AD435" i="1"/>
  <c r="AB435" i="1" s="1"/>
  <c r="AE435" i="1"/>
  <c r="B436" i="1"/>
  <c r="F436" i="1"/>
  <c r="J436" i="1"/>
  <c r="W436" i="1"/>
  <c r="U436" i="1" s="1"/>
  <c r="Y436" i="1"/>
  <c r="Z436" i="1"/>
  <c r="AB436" i="1"/>
  <c r="AD436" i="1"/>
  <c r="AE436" i="1"/>
  <c r="B437" i="1"/>
  <c r="F437" i="1"/>
  <c r="J437" i="1"/>
  <c r="U437" i="1"/>
  <c r="W437" i="1"/>
  <c r="Y437" i="1"/>
  <c r="Z437" i="1"/>
  <c r="AD437" i="1"/>
  <c r="AB437" i="1" s="1"/>
  <c r="AE437" i="1"/>
  <c r="B438" i="1"/>
  <c r="F438" i="1"/>
  <c r="J438" i="1"/>
  <c r="W438" i="1"/>
  <c r="U438" i="1" s="1"/>
  <c r="Y438" i="1"/>
  <c r="Z438" i="1"/>
  <c r="AD438" i="1"/>
  <c r="AB438" i="1" s="1"/>
  <c r="AE438" i="1"/>
  <c r="B439" i="1"/>
  <c r="F439" i="1"/>
  <c r="J439" i="1"/>
  <c r="W439" i="1"/>
  <c r="U439" i="1" s="1"/>
  <c r="Y439" i="1"/>
  <c r="Z439" i="1"/>
  <c r="AD439" i="1"/>
  <c r="AB439" i="1" s="1"/>
  <c r="AE439" i="1"/>
  <c r="B440" i="1"/>
  <c r="F440" i="1"/>
  <c r="J440" i="1"/>
  <c r="W440" i="1"/>
  <c r="U440" i="1" s="1"/>
  <c r="Y440" i="1"/>
  <c r="Z440" i="1"/>
  <c r="AB440" i="1"/>
  <c r="AD440" i="1"/>
  <c r="AE440" i="1"/>
  <c r="B441" i="1"/>
  <c r="F441" i="1"/>
  <c r="J441" i="1"/>
  <c r="W441" i="1"/>
  <c r="U441" i="1" s="1"/>
  <c r="Y441" i="1"/>
  <c r="Z441" i="1"/>
  <c r="AD441" i="1"/>
  <c r="AB441" i="1" s="1"/>
  <c r="AE441" i="1"/>
  <c r="B442" i="1"/>
  <c r="F442" i="1"/>
  <c r="J442" i="1"/>
  <c r="W442" i="1"/>
  <c r="U442" i="1" s="1"/>
  <c r="Y442" i="1"/>
  <c r="Z442" i="1"/>
  <c r="AD442" i="1"/>
  <c r="AB442" i="1" s="1"/>
  <c r="AE442" i="1"/>
  <c r="B443" i="1"/>
  <c r="F443" i="1"/>
  <c r="J443" i="1"/>
  <c r="W443" i="1"/>
  <c r="U443" i="1" s="1"/>
  <c r="Y443" i="1"/>
  <c r="Z443" i="1"/>
  <c r="AD443" i="1"/>
  <c r="AB443" i="1" s="1"/>
  <c r="AE443" i="1"/>
  <c r="B444" i="1"/>
  <c r="F444" i="1"/>
  <c r="J444" i="1"/>
  <c r="W444" i="1"/>
  <c r="U444" i="1" s="1"/>
  <c r="Y444" i="1"/>
  <c r="Z444" i="1"/>
  <c r="AB444" i="1"/>
  <c r="AD444" i="1"/>
  <c r="AE444" i="1"/>
  <c r="B445" i="1"/>
  <c r="F445" i="1"/>
  <c r="J445" i="1"/>
  <c r="U445" i="1"/>
  <c r="W445" i="1"/>
  <c r="Y445" i="1"/>
  <c r="Z445" i="1"/>
  <c r="AD445" i="1"/>
  <c r="AB445" i="1" s="1"/>
  <c r="AE445" i="1"/>
  <c r="B446" i="1"/>
  <c r="F446" i="1"/>
  <c r="J446" i="1"/>
  <c r="W446" i="1"/>
  <c r="U446" i="1" s="1"/>
  <c r="Y446" i="1"/>
  <c r="Z446" i="1"/>
  <c r="AD446" i="1"/>
  <c r="AB446" i="1" s="1"/>
  <c r="AE446" i="1"/>
  <c r="B447" i="1"/>
  <c r="F447" i="1"/>
  <c r="J447" i="1"/>
  <c r="W447" i="1"/>
  <c r="U447" i="1" s="1"/>
  <c r="Y447" i="1"/>
  <c r="Z447" i="1"/>
  <c r="AD447" i="1"/>
  <c r="AB447" i="1" s="1"/>
  <c r="AE447" i="1"/>
  <c r="B448" i="1"/>
  <c r="F448" i="1"/>
  <c r="J448" i="1"/>
  <c r="W448" i="1"/>
  <c r="U448" i="1" s="1"/>
  <c r="Y448" i="1"/>
  <c r="Z448" i="1"/>
  <c r="AB448" i="1"/>
  <c r="AD448" i="1"/>
  <c r="AE448" i="1"/>
  <c r="B449" i="1"/>
  <c r="F449" i="1"/>
  <c r="J449" i="1"/>
  <c r="W449" i="1"/>
  <c r="U449" i="1" s="1"/>
  <c r="Y449" i="1"/>
  <c r="Z449" i="1"/>
  <c r="AD449" i="1"/>
  <c r="AB449" i="1" s="1"/>
  <c r="AE449" i="1"/>
  <c r="B450" i="1"/>
  <c r="F450" i="1"/>
  <c r="J450" i="1"/>
  <c r="W450" i="1"/>
  <c r="U450" i="1" s="1"/>
  <c r="Y450" i="1"/>
  <c r="Z450" i="1"/>
  <c r="AD450" i="1"/>
  <c r="AB450" i="1" s="1"/>
  <c r="AE450" i="1"/>
  <c r="B451" i="1"/>
  <c r="F451" i="1"/>
  <c r="J451" i="1"/>
  <c r="U451" i="1"/>
  <c r="W451" i="1"/>
  <c r="Y451" i="1"/>
  <c r="Z451" i="1"/>
  <c r="AB451" i="1"/>
  <c r="AD451" i="1"/>
  <c r="AE451" i="1"/>
  <c r="B452" i="1"/>
  <c r="F452" i="1"/>
  <c r="J452" i="1"/>
  <c r="W452" i="1"/>
  <c r="U452" i="1" s="1"/>
  <c r="Y452" i="1"/>
  <c r="Z452" i="1"/>
  <c r="AD452" i="1"/>
  <c r="AB452" i="1" s="1"/>
  <c r="AE452" i="1"/>
  <c r="B453" i="1"/>
  <c r="F453" i="1"/>
  <c r="J453" i="1"/>
  <c r="W453" i="1"/>
  <c r="U453" i="1" s="1"/>
  <c r="Y453" i="1"/>
  <c r="Z453" i="1"/>
  <c r="AD453" i="1"/>
  <c r="AB453" i="1" s="1"/>
  <c r="AE453" i="1"/>
  <c r="B454" i="1"/>
  <c r="F454" i="1"/>
  <c r="J454" i="1"/>
  <c r="W454" i="1"/>
  <c r="U454" i="1" s="1"/>
  <c r="Y454" i="1"/>
  <c r="Z454" i="1"/>
  <c r="AD454" i="1"/>
  <c r="AB454" i="1" s="1"/>
  <c r="AE454" i="1"/>
  <c r="B455" i="1"/>
  <c r="F455" i="1"/>
  <c r="J455" i="1"/>
  <c r="W455" i="1"/>
  <c r="U455" i="1" s="1"/>
  <c r="Y455" i="1"/>
  <c r="Z455" i="1"/>
  <c r="AB455" i="1"/>
  <c r="AD455" i="1"/>
  <c r="AE455" i="1"/>
  <c r="B456" i="1"/>
  <c r="F456" i="1"/>
  <c r="J456" i="1"/>
  <c r="W456" i="1"/>
  <c r="U456" i="1" s="1"/>
  <c r="Y456" i="1"/>
  <c r="Z456" i="1"/>
  <c r="AD456" i="1"/>
  <c r="AB456" i="1" s="1"/>
  <c r="AE456" i="1"/>
  <c r="B457" i="1"/>
  <c r="F457" i="1"/>
  <c r="J457" i="1"/>
  <c r="W457" i="1"/>
  <c r="U457" i="1" s="1"/>
  <c r="Y457" i="1"/>
  <c r="Z457" i="1"/>
  <c r="AD457" i="1"/>
  <c r="AB457" i="1" s="1"/>
  <c r="AE457" i="1"/>
  <c r="B458" i="1"/>
  <c r="F458" i="1"/>
  <c r="J458" i="1"/>
  <c r="W458" i="1"/>
  <c r="U458" i="1" s="1"/>
  <c r="Y458" i="1"/>
  <c r="Z458" i="1"/>
  <c r="AD458" i="1"/>
  <c r="AB458" i="1" s="1"/>
  <c r="AE458" i="1"/>
  <c r="B459" i="1"/>
  <c r="F459" i="1"/>
  <c r="J459" i="1"/>
  <c r="W459" i="1"/>
  <c r="U459" i="1" s="1"/>
  <c r="Y459" i="1"/>
  <c r="Z459" i="1"/>
  <c r="AD459" i="1"/>
  <c r="AB459" i="1" s="1"/>
  <c r="AE459" i="1"/>
  <c r="B460" i="1"/>
  <c r="F460" i="1"/>
  <c r="J460" i="1"/>
  <c r="W460" i="1"/>
  <c r="U460" i="1" s="1"/>
  <c r="Y460" i="1"/>
  <c r="Z460" i="1"/>
  <c r="AB460" i="1"/>
  <c r="AD460" i="1"/>
  <c r="AE460" i="1"/>
  <c r="B461" i="1"/>
  <c r="F461" i="1"/>
  <c r="J461" i="1"/>
  <c r="W461" i="1"/>
  <c r="U461" i="1" s="1"/>
  <c r="Y461" i="1"/>
  <c r="Z461" i="1"/>
  <c r="AD461" i="1"/>
  <c r="AB461" i="1" s="1"/>
  <c r="AE461" i="1"/>
  <c r="B462" i="1"/>
  <c r="F462" i="1"/>
  <c r="J462" i="1"/>
  <c r="W462" i="1"/>
  <c r="U462" i="1" s="1"/>
  <c r="Y462" i="1"/>
  <c r="Z462" i="1"/>
  <c r="AD462" i="1"/>
  <c r="AB462" i="1" s="1"/>
  <c r="AE462" i="1"/>
  <c r="B463" i="1"/>
  <c r="F463" i="1"/>
  <c r="J463" i="1"/>
  <c r="W463" i="1"/>
  <c r="U463" i="1" s="1"/>
  <c r="Y463" i="1"/>
  <c r="Z463" i="1"/>
  <c r="AD463" i="1"/>
  <c r="AB463" i="1" s="1"/>
  <c r="AE463" i="1"/>
  <c r="B464" i="1"/>
  <c r="F464" i="1"/>
  <c r="J464" i="1"/>
  <c r="W464" i="1"/>
  <c r="U464" i="1" s="1"/>
  <c r="Y464" i="1"/>
  <c r="Z464" i="1"/>
  <c r="AB464" i="1"/>
  <c r="AD464" i="1"/>
  <c r="AE464" i="1"/>
  <c r="B465" i="1"/>
  <c r="F465" i="1"/>
  <c r="J465" i="1"/>
  <c r="W465" i="1"/>
  <c r="U465" i="1" s="1"/>
  <c r="Y465" i="1"/>
  <c r="Z465" i="1"/>
  <c r="AD465" i="1"/>
  <c r="AB465" i="1" s="1"/>
  <c r="AE465" i="1"/>
  <c r="B466" i="1"/>
  <c r="F466" i="1"/>
  <c r="J466" i="1"/>
  <c r="W466" i="1"/>
  <c r="U466" i="1" s="1"/>
  <c r="Y466" i="1"/>
  <c r="Z466" i="1"/>
  <c r="AD466" i="1"/>
  <c r="AB466" i="1" s="1"/>
  <c r="AE466" i="1"/>
  <c r="B467" i="1"/>
  <c r="F467" i="1"/>
  <c r="J467" i="1"/>
  <c r="U467" i="1"/>
  <c r="W467" i="1"/>
  <c r="Y467" i="1"/>
  <c r="Z467" i="1"/>
  <c r="AD467" i="1"/>
  <c r="AB467" i="1" s="1"/>
  <c r="AE467" i="1"/>
  <c r="B468" i="1"/>
  <c r="F468" i="1"/>
  <c r="J468" i="1"/>
  <c r="W468" i="1"/>
  <c r="U468" i="1" s="1"/>
  <c r="Y468" i="1"/>
  <c r="Z468" i="1"/>
  <c r="AB468" i="1"/>
  <c r="AD468" i="1"/>
  <c r="AE468" i="1"/>
  <c r="B469" i="1"/>
  <c r="F469" i="1"/>
  <c r="J469" i="1"/>
  <c r="W469" i="1"/>
  <c r="U469" i="1" s="1"/>
  <c r="Y469" i="1"/>
  <c r="Z469" i="1"/>
  <c r="AD469" i="1"/>
  <c r="AB469" i="1" s="1"/>
  <c r="AE469" i="1"/>
  <c r="B470" i="1"/>
  <c r="F470" i="1"/>
  <c r="J470" i="1"/>
  <c r="W470" i="1"/>
  <c r="U470" i="1" s="1"/>
  <c r="Y470" i="1"/>
  <c r="Z470" i="1"/>
  <c r="AD470" i="1"/>
  <c r="AB470" i="1" s="1"/>
  <c r="AE470" i="1"/>
  <c r="B471" i="1"/>
  <c r="F471" i="1"/>
  <c r="J471" i="1"/>
  <c r="U471" i="1"/>
  <c r="W471" i="1"/>
  <c r="Y471" i="1"/>
  <c r="Z471" i="1"/>
  <c r="AB471" i="1"/>
  <c r="AD471" i="1"/>
  <c r="AE471" i="1"/>
  <c r="B472" i="1"/>
  <c r="F472" i="1"/>
  <c r="J472" i="1"/>
  <c r="W472" i="1"/>
  <c r="U472" i="1" s="1"/>
  <c r="Y472" i="1"/>
  <c r="Z472" i="1"/>
  <c r="AD472" i="1"/>
  <c r="AB472" i="1" s="1"/>
  <c r="AE472" i="1"/>
  <c r="B473" i="1"/>
  <c r="F473" i="1"/>
  <c r="J473" i="1"/>
  <c r="W473" i="1"/>
  <c r="U473" i="1" s="1"/>
  <c r="Y473" i="1"/>
  <c r="Z473" i="1"/>
  <c r="AD473" i="1"/>
  <c r="AB473" i="1" s="1"/>
  <c r="AE473" i="1"/>
  <c r="B474" i="1"/>
  <c r="F474" i="1"/>
  <c r="J474" i="1"/>
  <c r="W474" i="1"/>
  <c r="U474" i="1" s="1"/>
  <c r="Y474" i="1"/>
  <c r="Z474" i="1"/>
  <c r="AD474" i="1"/>
  <c r="AB474" i="1" s="1"/>
  <c r="AE474" i="1"/>
  <c r="B475" i="1"/>
  <c r="F475" i="1"/>
  <c r="J475" i="1"/>
  <c r="W475" i="1"/>
  <c r="U475" i="1" s="1"/>
  <c r="Y475" i="1"/>
  <c r="Z475" i="1"/>
  <c r="AD475" i="1"/>
  <c r="AB475" i="1" s="1"/>
  <c r="AE475" i="1"/>
  <c r="B476" i="1"/>
  <c r="F476" i="1"/>
  <c r="J476" i="1"/>
  <c r="W476" i="1"/>
  <c r="U476" i="1" s="1"/>
  <c r="Y476" i="1"/>
  <c r="Z476" i="1"/>
  <c r="AB476" i="1"/>
  <c r="AD476" i="1"/>
  <c r="AE476" i="1"/>
  <c r="B477" i="1"/>
  <c r="F477" i="1"/>
  <c r="J477" i="1"/>
  <c r="W477" i="1"/>
  <c r="U477" i="1" s="1"/>
  <c r="Y477" i="1"/>
  <c r="Z477" i="1"/>
  <c r="AD477" i="1"/>
  <c r="AB477" i="1" s="1"/>
  <c r="AE477" i="1"/>
  <c r="B478" i="1"/>
  <c r="F478" i="1"/>
  <c r="J478" i="1"/>
  <c r="W478" i="1"/>
  <c r="U478" i="1" s="1"/>
  <c r="Y478" i="1"/>
  <c r="Z478" i="1"/>
  <c r="AD478" i="1"/>
  <c r="AB478" i="1" s="1"/>
  <c r="AE478" i="1"/>
  <c r="B479" i="1"/>
  <c r="F479" i="1"/>
  <c r="J479" i="1"/>
  <c r="W479" i="1"/>
  <c r="U479" i="1" s="1"/>
  <c r="Y479" i="1"/>
  <c r="Z479" i="1"/>
  <c r="AD479" i="1"/>
  <c r="AB479" i="1" s="1"/>
  <c r="AE479" i="1"/>
  <c r="B480" i="1"/>
  <c r="F480" i="1"/>
  <c r="J480" i="1"/>
  <c r="W480" i="1"/>
  <c r="U480" i="1" s="1"/>
  <c r="Y480" i="1"/>
  <c r="Z480" i="1"/>
  <c r="AB480" i="1"/>
  <c r="AD480" i="1"/>
  <c r="AE480" i="1"/>
  <c r="B481" i="1"/>
  <c r="F481" i="1"/>
  <c r="J481" i="1"/>
  <c r="W481" i="1"/>
  <c r="U481" i="1" s="1"/>
  <c r="Y481" i="1"/>
  <c r="Z481" i="1"/>
  <c r="AD481" i="1"/>
  <c r="AB481" i="1" s="1"/>
  <c r="AE481" i="1"/>
  <c r="B482" i="1"/>
  <c r="F482" i="1"/>
  <c r="J482" i="1"/>
  <c r="W482" i="1"/>
  <c r="U482" i="1" s="1"/>
  <c r="Y482" i="1"/>
  <c r="Z482" i="1"/>
  <c r="AD482" i="1"/>
  <c r="AB482" i="1" s="1"/>
  <c r="AE482" i="1"/>
  <c r="B483" i="1"/>
  <c r="F483" i="1"/>
  <c r="J483" i="1"/>
  <c r="U483" i="1"/>
  <c r="W483" i="1"/>
  <c r="Y483" i="1"/>
  <c r="Z483" i="1"/>
  <c r="AD483" i="1"/>
  <c r="AB483" i="1" s="1"/>
  <c r="AE483" i="1"/>
  <c r="B484" i="1"/>
  <c r="F484" i="1"/>
  <c r="J484" i="1"/>
  <c r="W484" i="1"/>
  <c r="U484" i="1" s="1"/>
  <c r="Y484" i="1"/>
  <c r="Z484" i="1"/>
  <c r="AB484" i="1"/>
  <c r="AD484" i="1"/>
  <c r="AE484" i="1"/>
  <c r="B485" i="1"/>
  <c r="F485" i="1"/>
  <c r="J485" i="1"/>
  <c r="W485" i="1"/>
  <c r="U485" i="1" s="1"/>
  <c r="Y485" i="1"/>
  <c r="Z485" i="1"/>
  <c r="AD485" i="1"/>
  <c r="AB485" i="1" s="1"/>
  <c r="AE485" i="1"/>
  <c r="B486" i="1"/>
  <c r="F486" i="1"/>
  <c r="J486" i="1"/>
  <c r="W486" i="1"/>
  <c r="U486" i="1" s="1"/>
  <c r="Y486" i="1"/>
  <c r="Z486" i="1"/>
  <c r="AD486" i="1"/>
  <c r="AB486" i="1" s="1"/>
  <c r="AE486" i="1"/>
  <c r="B487" i="1"/>
  <c r="F487" i="1"/>
  <c r="J487" i="1"/>
  <c r="W487" i="1"/>
  <c r="U487" i="1" s="1"/>
  <c r="Y487" i="1"/>
  <c r="Z487" i="1"/>
  <c r="AB487" i="1"/>
  <c r="AD487" i="1"/>
  <c r="AE487" i="1"/>
  <c r="B488" i="1"/>
  <c r="F488" i="1"/>
  <c r="J488" i="1"/>
  <c r="W488" i="1"/>
  <c r="U488" i="1" s="1"/>
  <c r="Y488" i="1"/>
  <c r="Z488" i="1"/>
  <c r="AD488" i="1"/>
  <c r="AB488" i="1" s="1"/>
  <c r="AE488" i="1"/>
  <c r="B489" i="1"/>
  <c r="F489" i="1"/>
  <c r="J489" i="1"/>
  <c r="W489" i="1"/>
  <c r="U489" i="1" s="1"/>
  <c r="Y489" i="1"/>
  <c r="Z489" i="1"/>
  <c r="AD489" i="1"/>
  <c r="AB489" i="1" s="1"/>
  <c r="AE489" i="1"/>
  <c r="B490" i="1"/>
  <c r="F490" i="1"/>
  <c r="J490" i="1"/>
  <c r="W490" i="1"/>
  <c r="U490" i="1" s="1"/>
  <c r="Y490" i="1"/>
  <c r="Z490" i="1"/>
  <c r="AD490" i="1"/>
  <c r="AB490" i="1" s="1"/>
  <c r="AE490" i="1"/>
  <c r="B491" i="1"/>
  <c r="F491" i="1"/>
  <c r="J491" i="1"/>
  <c r="W491" i="1"/>
  <c r="U491" i="1" s="1"/>
  <c r="Y491" i="1"/>
  <c r="Z491" i="1"/>
  <c r="AB491" i="1"/>
  <c r="AD491" i="1"/>
  <c r="AE491" i="1"/>
  <c r="B492" i="1"/>
  <c r="F492" i="1"/>
  <c r="J492" i="1"/>
  <c r="W492" i="1"/>
  <c r="U492" i="1" s="1"/>
  <c r="Y492" i="1"/>
  <c r="Z492" i="1"/>
  <c r="AD492" i="1"/>
  <c r="AB492" i="1" s="1"/>
  <c r="AE492" i="1"/>
  <c r="B493" i="1"/>
  <c r="F493" i="1"/>
  <c r="J493" i="1"/>
  <c r="W493" i="1"/>
  <c r="U493" i="1" s="1"/>
  <c r="Y493" i="1"/>
  <c r="Z493" i="1"/>
  <c r="AD493" i="1"/>
  <c r="AB493" i="1" s="1"/>
  <c r="AE493" i="1"/>
  <c r="B494" i="1"/>
  <c r="F494" i="1"/>
  <c r="J494" i="1"/>
  <c r="W494" i="1"/>
  <c r="U494" i="1" s="1"/>
  <c r="Y494" i="1"/>
  <c r="Z494" i="1"/>
  <c r="AD494" i="1"/>
  <c r="AB494" i="1" s="1"/>
  <c r="AE494" i="1"/>
  <c r="B495" i="1"/>
  <c r="F495" i="1"/>
  <c r="J495" i="1"/>
  <c r="W495" i="1"/>
  <c r="U495" i="1" s="1"/>
  <c r="Y495" i="1"/>
  <c r="Z495" i="1"/>
  <c r="AD495" i="1"/>
  <c r="AB495" i="1" s="1"/>
  <c r="AE495" i="1"/>
  <c r="B496" i="1"/>
  <c r="F496" i="1"/>
  <c r="J496" i="1"/>
  <c r="W496" i="1"/>
  <c r="U496" i="1" s="1"/>
  <c r="Y496" i="1"/>
  <c r="Z496" i="1"/>
  <c r="AB496" i="1"/>
  <c r="AD496" i="1"/>
  <c r="AE496" i="1"/>
  <c r="B497" i="1"/>
  <c r="F497" i="1"/>
  <c r="J497" i="1"/>
  <c r="W497" i="1"/>
  <c r="U497" i="1" s="1"/>
  <c r="Y497" i="1"/>
  <c r="Z497" i="1"/>
  <c r="AD497" i="1"/>
  <c r="AB497" i="1" s="1"/>
  <c r="AE497" i="1"/>
  <c r="B498" i="1"/>
  <c r="F498" i="1"/>
  <c r="J498" i="1"/>
  <c r="W498" i="1"/>
  <c r="U498" i="1" s="1"/>
  <c r="Y498" i="1"/>
  <c r="Z498" i="1"/>
  <c r="AD498" i="1"/>
  <c r="AB498" i="1" s="1"/>
  <c r="AE498" i="1"/>
  <c r="B499" i="1"/>
  <c r="F499" i="1"/>
  <c r="J499" i="1"/>
  <c r="W499" i="1"/>
  <c r="U499" i="1" s="1"/>
  <c r="Y499" i="1"/>
  <c r="Z499" i="1"/>
  <c r="AD499" i="1"/>
  <c r="AB499" i="1" s="1"/>
  <c r="AE499" i="1"/>
  <c r="B500" i="1"/>
  <c r="F500" i="1"/>
  <c r="J500" i="1"/>
  <c r="W500" i="1"/>
  <c r="U500" i="1" s="1"/>
  <c r="Y500" i="1"/>
  <c r="Z500" i="1"/>
  <c r="AB500" i="1"/>
  <c r="AD500" i="1"/>
  <c r="AE500" i="1"/>
  <c r="B501" i="1"/>
  <c r="F501" i="1"/>
  <c r="J501" i="1"/>
  <c r="W501" i="1"/>
  <c r="U501" i="1" s="1"/>
  <c r="Y501" i="1"/>
  <c r="Z501" i="1"/>
  <c r="AD501" i="1"/>
  <c r="AB501" i="1" s="1"/>
  <c r="AE501" i="1"/>
  <c r="C16" i="4"/>
  <c r="C11" i="4"/>
  <c r="C18" i="4"/>
  <c r="C46" i="4"/>
  <c r="C32" i="4"/>
  <c r="C44" i="4"/>
  <c r="C37" i="4"/>
  <c r="C2" i="4"/>
  <c r="C48" i="4"/>
  <c r="C30" i="4"/>
  <c r="C31" i="4"/>
  <c r="C40" i="4"/>
  <c r="C42" i="4"/>
  <c r="C14" i="4"/>
  <c r="C35" i="4"/>
  <c r="C15" i="4"/>
  <c r="B31" i="4" l="1"/>
  <c r="B32" i="4"/>
  <c r="B30" i="4"/>
</calcChain>
</file>

<file path=xl/sharedStrings.xml><?xml version="1.0" encoding="utf-8"?>
<sst xmlns="http://schemas.openxmlformats.org/spreadsheetml/2006/main" count="6305" uniqueCount="2169">
  <si>
    <t>05:55:32</t>
  </si>
  <si>
    <t>DEL0</t>
  </si>
  <si>
    <t>PID010</t>
  </si>
  <si>
    <t>17:02:09</t>
  </si>
  <si>
    <t>OID6847</t>
  </si>
  <si>
    <t>16031 David Mountain Suite 431, Susanborough, PA 01910</t>
  </si>
  <si>
    <t>angela.evans@outlook.com</t>
  </si>
  <si>
    <t>Houston</t>
  </si>
  <si>
    <t>Other</t>
  </si>
  <si>
    <t>Evans</t>
  </si>
  <si>
    <t>Angela</t>
  </si>
  <si>
    <t>CID158</t>
  </si>
  <si>
    <t>17:07:47</t>
  </si>
  <si>
    <t>PID032</t>
  </si>
  <si>
    <t>08:30:03</t>
  </si>
  <si>
    <t>OID7475</t>
  </si>
  <si>
    <t>56908 Sydney Park Suite 632, West Anthonyport, NC 15954</t>
  </si>
  <si>
    <t>amanda.howard@outlook.com</t>
  </si>
  <si>
    <t>Dallas</t>
  </si>
  <si>
    <t>Howard</t>
  </si>
  <si>
    <t>Amanda</t>
  </si>
  <si>
    <t>CID135</t>
  </si>
  <si>
    <t>23:38:57</t>
  </si>
  <si>
    <t>PID014</t>
  </si>
  <si>
    <t>09:50:05</t>
  </si>
  <si>
    <t>OID3361</t>
  </si>
  <si>
    <t>163 Jeffrey Drive, South Mary, NH 23999</t>
  </si>
  <si>
    <t>diana.french@outlook.com</t>
  </si>
  <si>
    <t>New York</t>
  </si>
  <si>
    <t>Female</t>
  </si>
  <si>
    <t>French</t>
  </si>
  <si>
    <t>Diana</t>
  </si>
  <si>
    <t>CID167</t>
  </si>
  <si>
    <t>16:11:48</t>
  </si>
  <si>
    <t>FLAT8</t>
  </si>
  <si>
    <t>PID026</t>
  </si>
  <si>
    <t>01:15:18</t>
  </si>
  <si>
    <t>OID7418</t>
  </si>
  <si>
    <t>848 William Port, New Marilyn, SD 58000</t>
  </si>
  <si>
    <t>katie.hicks@rediffmail.com</t>
  </si>
  <si>
    <t>Chicago</t>
  </si>
  <si>
    <t>Hicks</t>
  </si>
  <si>
    <t>Katie</t>
  </si>
  <si>
    <t>CID110</t>
  </si>
  <si>
    <t>00:24:54</t>
  </si>
  <si>
    <t>PID035</t>
  </si>
  <si>
    <t>12:19:38</t>
  </si>
  <si>
    <t>OID7483</t>
  </si>
  <si>
    <t>90155 Hines Spring, North Theresafurt, ME 31920</t>
  </si>
  <si>
    <t>mark.henderson@yahoo.com</t>
  </si>
  <si>
    <t>Henderson</t>
  </si>
  <si>
    <t>Mark</t>
  </si>
  <si>
    <t>CID163</t>
  </si>
  <si>
    <t>06:25:35</t>
  </si>
  <si>
    <t>PID039</t>
  </si>
  <si>
    <t>10:24:01</t>
  </si>
  <si>
    <t>OID4613</t>
  </si>
  <si>
    <t>2174 Thomas Avenue, Maciasborough, NJ 41465</t>
  </si>
  <si>
    <t>kara.brennan@outlook.com</t>
  </si>
  <si>
    <t>Miami</t>
  </si>
  <si>
    <t>Brennan</t>
  </si>
  <si>
    <t>Kara</t>
  </si>
  <si>
    <t>CID172</t>
  </si>
  <si>
    <t>16:13:49</t>
  </si>
  <si>
    <t>FLAT20</t>
  </si>
  <si>
    <t>PID003</t>
  </si>
  <si>
    <t>12:42:28</t>
  </si>
  <si>
    <t>OID9922</t>
  </si>
  <si>
    <t>USS Murray, FPO AP 66559</t>
  </si>
  <si>
    <t>gina.moreno@rediffmail.com</t>
  </si>
  <si>
    <t>Moreno</t>
  </si>
  <si>
    <t>Gina</t>
  </si>
  <si>
    <t>CID137</t>
  </si>
  <si>
    <t>03:32:40</t>
  </si>
  <si>
    <t>PID021</t>
  </si>
  <si>
    <t>08:32:59</t>
  </si>
  <si>
    <t>OID3302</t>
  </si>
  <si>
    <t>7143 Brandon Skyway Suite 899, Tylerton, IA 21756</t>
  </si>
  <si>
    <t>robert.castillo@gmail.com</t>
  </si>
  <si>
    <t>San Francisco</t>
  </si>
  <si>
    <t>Castillo</t>
  </si>
  <si>
    <t>Robert</t>
  </si>
  <si>
    <t>CID169</t>
  </si>
  <si>
    <t>02:58:16</t>
  </si>
  <si>
    <t>PID018</t>
  </si>
  <si>
    <t>20:38:05</t>
  </si>
  <si>
    <t>OID2861</t>
  </si>
  <si>
    <t>6250 David Loaf Suite 561, North Pamelaberg, WV 63652</t>
  </si>
  <si>
    <t>brittany.stewart@gmail.com</t>
  </si>
  <si>
    <t>Stewart</t>
  </si>
  <si>
    <t>Brittany</t>
  </si>
  <si>
    <t>CID136</t>
  </si>
  <si>
    <t>01:31:23</t>
  </si>
  <si>
    <t>FLAT15</t>
  </si>
  <si>
    <t>PID045</t>
  </si>
  <si>
    <t>03:18:41</t>
  </si>
  <si>
    <t>OID6651</t>
  </si>
  <si>
    <t>619 Parker Turnpike Apt. 025, West Brucehaven, ID 48437</t>
  </si>
  <si>
    <t>gregory.lee@rediffmail.com</t>
  </si>
  <si>
    <t>Lee</t>
  </si>
  <si>
    <t>Gregory</t>
  </si>
  <si>
    <t>CID156</t>
  </si>
  <si>
    <t>06:42:40</t>
  </si>
  <si>
    <t>18:04:56</t>
  </si>
  <si>
    <t>OID3491</t>
  </si>
  <si>
    <t>547 Kerry Expressway, Lake Amanda, AR 20321</t>
  </si>
  <si>
    <t>ashley.romero@yahoo.com</t>
  </si>
  <si>
    <t>Phoenix</t>
  </si>
  <si>
    <t>Male</t>
  </si>
  <si>
    <t>Romero</t>
  </si>
  <si>
    <t>Ashley</t>
  </si>
  <si>
    <t>CID145</t>
  </si>
  <si>
    <t>04:52:06</t>
  </si>
  <si>
    <t>PID049</t>
  </si>
  <si>
    <t>07:39:59</t>
  </si>
  <si>
    <t>OID5970</t>
  </si>
  <si>
    <t>PSC 0550, Box 2737, APO AE 75772</t>
  </si>
  <si>
    <t>aaron.thompson@gmail.com</t>
  </si>
  <si>
    <t>Los Angeles</t>
  </si>
  <si>
    <t>Thompson</t>
  </si>
  <si>
    <t>Aaron</t>
  </si>
  <si>
    <t>CID184</t>
  </si>
  <si>
    <t>09:34:23</t>
  </si>
  <si>
    <t>PID002</t>
  </si>
  <si>
    <t>07:36:32</t>
  </si>
  <si>
    <t>OID8972</t>
  </si>
  <si>
    <t>4082 Wang Terrace Suite 040, Victorialand, ME 41532</t>
  </si>
  <si>
    <t>joseph.stewart@yahoo.com</t>
  </si>
  <si>
    <t>Joseph</t>
  </si>
  <si>
    <t>CID105</t>
  </si>
  <si>
    <t>09:42:50</t>
  </si>
  <si>
    <t>PID033</t>
  </si>
  <si>
    <t>22:17:42</t>
  </si>
  <si>
    <t>OID3128</t>
  </si>
  <si>
    <t>2420 David Manors, Jessicaland, CT 41698</t>
  </si>
  <si>
    <t>hannah.gutierrez@yahoo.com</t>
  </si>
  <si>
    <t>Gutierrez</t>
  </si>
  <si>
    <t>Hannah</t>
  </si>
  <si>
    <t>CID117</t>
  </si>
  <si>
    <t>03:31:58</t>
  </si>
  <si>
    <t>PID022</t>
  </si>
  <si>
    <t>01:02:33</t>
  </si>
  <si>
    <t>OID6433</t>
  </si>
  <si>
    <t>087 Jacqueline Rue Apt. 694, East Tasha, SC 04859</t>
  </si>
  <si>
    <t>courtney.parker@yahoo.com</t>
  </si>
  <si>
    <t>Parker</t>
  </si>
  <si>
    <t>Courtney</t>
  </si>
  <si>
    <t>CID155</t>
  </si>
  <si>
    <t>07:01:18</t>
  </si>
  <si>
    <t>PID027</t>
  </si>
  <si>
    <t>08:17:07</t>
  </si>
  <si>
    <t>OID9459</t>
  </si>
  <si>
    <t>4016 Ryan Passage, Collinsside, PA 88777</t>
  </si>
  <si>
    <t>traci.jones@yahoo.com</t>
  </si>
  <si>
    <t>Jones</t>
  </si>
  <si>
    <t>Traci</t>
  </si>
  <si>
    <t>CID128</t>
  </si>
  <si>
    <t>03:53:13</t>
  </si>
  <si>
    <t>02:53:11</t>
  </si>
  <si>
    <t>OID8446</t>
  </si>
  <si>
    <t>710 Anthony Wall Suite 137, East Davidstad, NV 61494</t>
  </si>
  <si>
    <t>mallory.mitchell@yahoo.com</t>
  </si>
  <si>
    <t>Mitchell</t>
  </si>
  <si>
    <t>Mallory</t>
  </si>
  <si>
    <t>CID147</t>
  </si>
  <si>
    <t>07:46:17</t>
  </si>
  <si>
    <t>FLAT10</t>
  </si>
  <si>
    <t>08:22:36</t>
  </si>
  <si>
    <t>OID7238</t>
  </si>
  <si>
    <t>01:06:14</t>
  </si>
  <si>
    <t>16:28:38</t>
  </si>
  <si>
    <t>OID6361</t>
  </si>
  <si>
    <t>14:00:57</t>
  </si>
  <si>
    <t>05:02:45</t>
  </si>
  <si>
    <t>OID9862</t>
  </si>
  <si>
    <t>86837 Bell Meadows, North Jasonshire, UT 51354</t>
  </si>
  <si>
    <t>lori.cook@rediffmail.com</t>
  </si>
  <si>
    <t>Cook</t>
  </si>
  <si>
    <t>Lori</t>
  </si>
  <si>
    <t>CID199</t>
  </si>
  <si>
    <t>19:29:03</t>
  </si>
  <si>
    <t>PID031</t>
  </si>
  <si>
    <t>00:44:05</t>
  </si>
  <si>
    <t>OID4522</t>
  </si>
  <si>
    <t>278 Kathy Estate, Saraville, OH 77292</t>
  </si>
  <si>
    <t>deborah.bates@yahoo.com</t>
  </si>
  <si>
    <t>Bates</t>
  </si>
  <si>
    <t>Deborah</t>
  </si>
  <si>
    <t>CID168</t>
  </si>
  <si>
    <t>17:45:57</t>
  </si>
  <si>
    <t>PID050</t>
  </si>
  <si>
    <t>14:34:14</t>
  </si>
  <si>
    <t>OID9461</t>
  </si>
  <si>
    <t>5812 Evelyn Mountains Suite 845, Ortiztown, MN 86166</t>
  </si>
  <si>
    <t>janice.gordon@yahoo.com</t>
  </si>
  <si>
    <t>Gordon</t>
  </si>
  <si>
    <t>Janice</t>
  </si>
  <si>
    <t>CID146</t>
  </si>
  <si>
    <t>09:32:58</t>
  </si>
  <si>
    <t>PID006</t>
  </si>
  <si>
    <t>18:25:37</t>
  </si>
  <si>
    <t>OID6319</t>
  </si>
  <si>
    <t>48611 Clark Village, West Anne, GA 92865</t>
  </si>
  <si>
    <t>alexandra.smith@rediffmail.com</t>
  </si>
  <si>
    <t>Smith</t>
  </si>
  <si>
    <t>Alexandra</t>
  </si>
  <si>
    <t>CID181</t>
  </si>
  <si>
    <t>18:29:46</t>
  </si>
  <si>
    <t>13:21:50</t>
  </si>
  <si>
    <t>OID6485</t>
  </si>
  <si>
    <t>09:31:36</t>
  </si>
  <si>
    <t>PID015</t>
  </si>
  <si>
    <t>12:10:00</t>
  </si>
  <si>
    <t>OID2005</t>
  </si>
  <si>
    <t>58998 Sherry Haven, East Richard, FL 90775</t>
  </si>
  <si>
    <t>beth.mason@outlook.com</t>
  </si>
  <si>
    <t>Mason</t>
  </si>
  <si>
    <t>Beth</t>
  </si>
  <si>
    <t>CID140</t>
  </si>
  <si>
    <t>01:24:34</t>
  </si>
  <si>
    <t>PID008</t>
  </si>
  <si>
    <t>12:50:57</t>
  </si>
  <si>
    <t>OID1779</t>
  </si>
  <si>
    <t>07:21:52</t>
  </si>
  <si>
    <t>PID012</t>
  </si>
  <si>
    <t>05:36:29</t>
  </si>
  <si>
    <t>OID2246</t>
  </si>
  <si>
    <t>4601 Miller Lock, Williamsbury, IA 10943</t>
  </si>
  <si>
    <t>debra.hayes@yahoo.com</t>
  </si>
  <si>
    <t>Hayes</t>
  </si>
  <si>
    <t>Debra</t>
  </si>
  <si>
    <t>CID134</t>
  </si>
  <si>
    <t>14:31:29</t>
  </si>
  <si>
    <t>PID037</t>
  </si>
  <si>
    <t>15:06:44</t>
  </si>
  <si>
    <t>OID8981</t>
  </si>
  <si>
    <t>01:05:53</t>
  </si>
  <si>
    <t>16:58:37</t>
  </si>
  <si>
    <t>OID2767</t>
  </si>
  <si>
    <t>57940 Susan Creek Apt. 541, Port Aliciamouth, OR 90221</t>
  </si>
  <si>
    <t>heather.schneider@outlook.com</t>
  </si>
  <si>
    <t>Schneider</t>
  </si>
  <si>
    <t>Heather</t>
  </si>
  <si>
    <t>CID161</t>
  </si>
  <si>
    <t>15:51:15</t>
  </si>
  <si>
    <t>PID009</t>
  </si>
  <si>
    <t>15:33:07</t>
  </si>
  <si>
    <t>OID9374</t>
  </si>
  <si>
    <t>00:18:32</t>
  </si>
  <si>
    <t>13:00:52</t>
  </si>
  <si>
    <t>OID6436</t>
  </si>
  <si>
    <t>30313 Reyes Parkways Suite 392, Port Bradley, SC 24078</t>
  </si>
  <si>
    <t>lauren.crane@yahoo.com</t>
  </si>
  <si>
    <t>Crane</t>
  </si>
  <si>
    <t>Lauren</t>
  </si>
  <si>
    <t>CID114</t>
  </si>
  <si>
    <t>16:09:18</t>
  </si>
  <si>
    <t>22:16:48</t>
  </si>
  <si>
    <t>OID2044</t>
  </si>
  <si>
    <t>USNV Mueller, FPO AP 54648</t>
  </si>
  <si>
    <t>angela.horne@outlook.com</t>
  </si>
  <si>
    <t>Horne</t>
  </si>
  <si>
    <t>CID149</t>
  </si>
  <si>
    <t>05:09:35</t>
  </si>
  <si>
    <t>PID004</t>
  </si>
  <si>
    <t>12:43:07</t>
  </si>
  <si>
    <t>OID9684</t>
  </si>
  <si>
    <t>07350 Aaron Meadow Suite 138, Kiaraberg, AL 79545</t>
  </si>
  <si>
    <t>amy.griffin@rediffmail.com</t>
  </si>
  <si>
    <t>Griffin</t>
  </si>
  <si>
    <t>Amy</t>
  </si>
  <si>
    <t>CID119</t>
  </si>
  <si>
    <t>09:06:18</t>
  </si>
  <si>
    <t>PID025</t>
  </si>
  <si>
    <t>20:13:44</t>
  </si>
  <si>
    <t>OID4907</t>
  </si>
  <si>
    <t>217 Scott Ville, Christophermouth, NH 83776</t>
  </si>
  <si>
    <t>amy.ellis@gmail.com</t>
  </si>
  <si>
    <t>Ellis</t>
  </si>
  <si>
    <t>CID118</t>
  </si>
  <si>
    <t>21:18:46</t>
  </si>
  <si>
    <t>PID005</t>
  </si>
  <si>
    <t>10:23:23</t>
  </si>
  <si>
    <t>OID4056</t>
  </si>
  <si>
    <t>792 Carlos Islands, West David, CT 16522</t>
  </si>
  <si>
    <t>jenny.estrada@yahoo.com</t>
  </si>
  <si>
    <t>Estrada</t>
  </si>
  <si>
    <t>Jenny</t>
  </si>
  <si>
    <t>CID120</t>
  </si>
  <si>
    <t>05:48:22</t>
  </si>
  <si>
    <t>PID041</t>
  </si>
  <si>
    <t>04:53:45</t>
  </si>
  <si>
    <t>OID3921</t>
  </si>
  <si>
    <t>65972 Peterson Route, Port Andrewfurt, SD 32892</t>
  </si>
  <si>
    <t>erin.miller@gmail.com</t>
  </si>
  <si>
    <t>Miller</t>
  </si>
  <si>
    <t>Erin</t>
  </si>
  <si>
    <t>CID148</t>
  </si>
  <si>
    <t>03:34:04</t>
  </si>
  <si>
    <t>PID013</t>
  </si>
  <si>
    <t>12:14:10</t>
  </si>
  <si>
    <t>OID1869</t>
  </si>
  <si>
    <t>19:23:44</t>
  </si>
  <si>
    <t>PID020</t>
  </si>
  <si>
    <t>18:23:17</t>
  </si>
  <si>
    <t>OID6975</t>
  </si>
  <si>
    <t>43325 Barbara Tunnel, Port James, LA 16246</t>
  </si>
  <si>
    <t>jared.horn@outlook.com</t>
  </si>
  <si>
    <t>Horn</t>
  </si>
  <si>
    <t>Jared</t>
  </si>
  <si>
    <t>CID122</t>
  </si>
  <si>
    <t>12:41:59</t>
  </si>
  <si>
    <t>PID029</t>
  </si>
  <si>
    <t>22:42:38</t>
  </si>
  <si>
    <t>OID4837</t>
  </si>
  <si>
    <t>5879 Susan Via Apt. 886, Sandovalbury, WV 61449</t>
  </si>
  <si>
    <t>edward.black@gmail.com</t>
  </si>
  <si>
    <t>Black</t>
  </si>
  <si>
    <t>Edward</t>
  </si>
  <si>
    <t>CID124</t>
  </si>
  <si>
    <t>21:00:20</t>
  </si>
  <si>
    <t>04:44:04</t>
  </si>
  <si>
    <t>OID3750</t>
  </si>
  <si>
    <t>02:15:04</t>
  </si>
  <si>
    <t>04:44:42</t>
  </si>
  <si>
    <t>OID2383</t>
  </si>
  <si>
    <t>096 Santos Neck Apt. 937, Benjaminmouth, FL 61454</t>
  </si>
  <si>
    <t>regina.hawkins@rediffmail.com</t>
  </si>
  <si>
    <t>Hawkins</t>
  </si>
  <si>
    <t>Regina</t>
  </si>
  <si>
    <t>CID196</t>
  </si>
  <si>
    <t>01:13:09</t>
  </si>
  <si>
    <t>06:54:03</t>
  </si>
  <si>
    <t>OID6775</t>
  </si>
  <si>
    <t>03:38:41</t>
  </si>
  <si>
    <t>07:11:33</t>
  </si>
  <si>
    <t>OID1169</t>
  </si>
  <si>
    <t>3284 Martin Neck, Lopezville, NY 69154</t>
  </si>
  <si>
    <t>christine.aguilar@gmail.com</t>
  </si>
  <si>
    <t>Aguilar</t>
  </si>
  <si>
    <t>Christine</t>
  </si>
  <si>
    <t>CID189</t>
  </si>
  <si>
    <t>08:42:42</t>
  </si>
  <si>
    <t>PID007</t>
  </si>
  <si>
    <t>17:54:41</t>
  </si>
  <si>
    <t>OID9478</t>
  </si>
  <si>
    <t>11:44:11</t>
  </si>
  <si>
    <t>PID036</t>
  </si>
  <si>
    <t>03:10:32</t>
  </si>
  <si>
    <t>OID2595</t>
  </si>
  <si>
    <t>140 Tracy Fields, Lake Cynthiaton, TX 57190</t>
  </si>
  <si>
    <t>timothy.hicks@gmail.com</t>
  </si>
  <si>
    <t>Timothy</t>
  </si>
  <si>
    <t>CID132</t>
  </si>
  <si>
    <t>04:38:50</t>
  </si>
  <si>
    <t>12:05:41</t>
  </si>
  <si>
    <t>OID6504</t>
  </si>
  <si>
    <t>04:21:49</t>
  </si>
  <si>
    <t>02:55:29</t>
  </si>
  <si>
    <t>OID8288</t>
  </si>
  <si>
    <t>08:22:44</t>
  </si>
  <si>
    <t>PID043</t>
  </si>
  <si>
    <t>16:42:26</t>
  </si>
  <si>
    <t>OID4491</t>
  </si>
  <si>
    <t>05:45:33</t>
  </si>
  <si>
    <t>11:55:04</t>
  </si>
  <si>
    <t>OID7518</t>
  </si>
  <si>
    <t>931 Christopher Ways Suite 833, North Michelle, IN 53484</t>
  </si>
  <si>
    <t>anthony.thomas@rediffmail.com</t>
  </si>
  <si>
    <t>Thomas</t>
  </si>
  <si>
    <t>Anthony</t>
  </si>
  <si>
    <t>CID150</t>
  </si>
  <si>
    <t>05:04:36</t>
  </si>
  <si>
    <t>01:51:31</t>
  </si>
  <si>
    <t>OID6254</t>
  </si>
  <si>
    <t>480 Summers Lock Suite 819, Sarahborough, IA 59863</t>
  </si>
  <si>
    <t>thomas.andersen@yahoo.com</t>
  </si>
  <si>
    <t>Andersen</t>
  </si>
  <si>
    <t>CID180</t>
  </si>
  <si>
    <t>02:03:57</t>
  </si>
  <si>
    <t>04:40:06</t>
  </si>
  <si>
    <t>OID8826</t>
  </si>
  <si>
    <t>849 Tran Wells, New Lindsayville, WI 22669</t>
  </si>
  <si>
    <t>william.mann@yahoo.com</t>
  </si>
  <si>
    <t>Mann</t>
  </si>
  <si>
    <t>William</t>
  </si>
  <si>
    <t>CID144</t>
  </si>
  <si>
    <t>01:57:29</t>
  </si>
  <si>
    <t>02:29:08</t>
  </si>
  <si>
    <t>OID1025</t>
  </si>
  <si>
    <t>USNV Williams, FPO AP 23197</t>
  </si>
  <si>
    <t>gary.jacobs@gmail.com</t>
  </si>
  <si>
    <t>Jacobs</t>
  </si>
  <si>
    <t>Gary</t>
  </si>
  <si>
    <t>CID197</t>
  </si>
  <si>
    <t>03:08:53</t>
  </si>
  <si>
    <t>PID019</t>
  </si>
  <si>
    <t>15:44:41</t>
  </si>
  <si>
    <t>OID7443</t>
  </si>
  <si>
    <t>12:59:30</t>
  </si>
  <si>
    <t>03:51:26</t>
  </si>
  <si>
    <t>OID1073</t>
  </si>
  <si>
    <t>02:44:11</t>
  </si>
  <si>
    <t>11:30:19</t>
  </si>
  <si>
    <t>OID1726</t>
  </si>
  <si>
    <t>04:47:20</t>
  </si>
  <si>
    <t>07:19:13</t>
  </si>
  <si>
    <t>OID4784</t>
  </si>
  <si>
    <t>13:52:42</t>
  </si>
  <si>
    <t>13:25:17</t>
  </si>
  <si>
    <t>OID7457</t>
  </si>
  <si>
    <t>89748 Campbell Drive, South Tannerland, WI 13143</t>
  </si>
  <si>
    <t>lisa.miller@gmail.com</t>
  </si>
  <si>
    <t>Lisa</t>
  </si>
  <si>
    <t>CID107</t>
  </si>
  <si>
    <t>02:24:54</t>
  </si>
  <si>
    <t>16:01:40</t>
  </si>
  <si>
    <t>OID5703</t>
  </si>
  <si>
    <t>089 Farley Terrace, Thomashaven, MT 56607</t>
  </si>
  <si>
    <t>angela.casey@gmail.com</t>
  </si>
  <si>
    <t>Casey</t>
  </si>
  <si>
    <t>CID154</t>
  </si>
  <si>
    <t>17:28:07</t>
  </si>
  <si>
    <t>21:05:38</t>
  </si>
  <si>
    <t>OID1707</t>
  </si>
  <si>
    <t>15:41:25</t>
  </si>
  <si>
    <t>PID001</t>
  </si>
  <si>
    <t>15:43:42</t>
  </si>
  <si>
    <t>OID8093</t>
  </si>
  <si>
    <t>72876 Lara Key Suite 383, Gutierrezton, OR 71683</t>
  </si>
  <si>
    <t>jodi.whitney@yahoo.com</t>
  </si>
  <si>
    <t>Whitney</t>
  </si>
  <si>
    <t>Jodi</t>
  </si>
  <si>
    <t>CID174</t>
  </si>
  <si>
    <t>03:50:06</t>
  </si>
  <si>
    <t>15:06:18</t>
  </si>
  <si>
    <t>OID4539</t>
  </si>
  <si>
    <t>16:40:55</t>
  </si>
  <si>
    <t>01:04:28</t>
  </si>
  <si>
    <t>OID1080</t>
  </si>
  <si>
    <t>464 Carolyn Crest Suite 738, Lake Isaiah, CA 66153</t>
  </si>
  <si>
    <t>donna.oneill@yahoo.com</t>
  </si>
  <si>
    <t>Oneill</t>
  </si>
  <si>
    <t>Donna</t>
  </si>
  <si>
    <t>CID133</t>
  </si>
  <si>
    <t>06:09:19</t>
  </si>
  <si>
    <t>21:09:31</t>
  </si>
  <si>
    <t>OID7495</t>
  </si>
  <si>
    <t>089 Rice Shoal Suite 491, Juarezmouth, MI 88715</t>
  </si>
  <si>
    <t>kim.blevins@outlook.com</t>
  </si>
  <si>
    <t>Blevins</t>
  </si>
  <si>
    <t>Kim</t>
  </si>
  <si>
    <t>CID143</t>
  </si>
  <si>
    <t>01:46:40</t>
  </si>
  <si>
    <t>04:43:46</t>
  </si>
  <si>
    <t>OID1694</t>
  </si>
  <si>
    <t>13:50:58</t>
  </si>
  <si>
    <t>PID046</t>
  </si>
  <si>
    <t>08:03:37</t>
  </si>
  <si>
    <t>OID4219</t>
  </si>
  <si>
    <t>7510 Jose Knolls, Candicechester, LA 62815</t>
  </si>
  <si>
    <t>troy.gomez@outlook.com</t>
  </si>
  <si>
    <t>Gomez</t>
  </si>
  <si>
    <t>Troy</t>
  </si>
  <si>
    <t>CID183</t>
  </si>
  <si>
    <t>14:16:59</t>
  </si>
  <si>
    <t>PID024</t>
  </si>
  <si>
    <t>15:11:02</t>
  </si>
  <si>
    <t>OID9035</t>
  </si>
  <si>
    <t>07:06:38</t>
  </si>
  <si>
    <t>PID016</t>
  </si>
  <si>
    <t>16:35:28</t>
  </si>
  <si>
    <t>OID2189</t>
  </si>
  <si>
    <t>788 Kristina Lane, Montoyaside, VA 90756</t>
  </si>
  <si>
    <t>kelli.smith@rediffmail.com</t>
  </si>
  <si>
    <t>Kelli</t>
  </si>
  <si>
    <t>CID125</t>
  </si>
  <si>
    <t>01:58:20</t>
  </si>
  <si>
    <t>18:51:12</t>
  </si>
  <si>
    <t>OID1769</t>
  </si>
  <si>
    <t>USNS Ray, FPO AE 20238</t>
  </si>
  <si>
    <t>david.delacruz@rediffmail.com</t>
  </si>
  <si>
    <t>Delacruz</t>
  </si>
  <si>
    <t>David</t>
  </si>
  <si>
    <t>CID198</t>
  </si>
  <si>
    <t>21:10:12</t>
  </si>
  <si>
    <t>21:41:18</t>
  </si>
  <si>
    <t>OID5555</t>
  </si>
  <si>
    <t>134 Mcintosh Unions Suite 574, Lake Laura, DE 96577</t>
  </si>
  <si>
    <t>barbara.fuller@rediffmail.com</t>
  </si>
  <si>
    <t>Fuller</t>
  </si>
  <si>
    <t>Barbara</t>
  </si>
  <si>
    <t>CID194</t>
  </si>
  <si>
    <t>03:46:12</t>
  </si>
  <si>
    <t>PID017</t>
  </si>
  <si>
    <t>12:40:06</t>
  </si>
  <si>
    <t>OID7650</t>
  </si>
  <si>
    <t>04:45:34</t>
  </si>
  <si>
    <t>16:46:34</t>
  </si>
  <si>
    <t>OID4995</t>
  </si>
  <si>
    <t>10:01:43</t>
  </si>
  <si>
    <t>01:12:34</t>
  </si>
  <si>
    <t>OID4442</t>
  </si>
  <si>
    <t>06:03:03</t>
  </si>
  <si>
    <t>03:00:01</t>
  </si>
  <si>
    <t>OID6802</t>
  </si>
  <si>
    <t>04887 Kimberly Union Apt. 645, Port Laura, IL 97219</t>
  </si>
  <si>
    <t>katherine.weber@outlook.com</t>
  </si>
  <si>
    <t>Weber</t>
  </si>
  <si>
    <t>Katherine</t>
  </si>
  <si>
    <t>CID175</t>
  </si>
  <si>
    <t>13:28:57</t>
  </si>
  <si>
    <t>02:29:46</t>
  </si>
  <si>
    <t>OID9069</t>
  </si>
  <si>
    <t>086 Kristin Manor Apt. 829, Marissabury, CT 12152</t>
  </si>
  <si>
    <t>scott.jones@yahoo.com</t>
  </si>
  <si>
    <t>Scott</t>
  </si>
  <si>
    <t>CID106</t>
  </si>
  <si>
    <t>14:57:01</t>
  </si>
  <si>
    <t>PID048</t>
  </si>
  <si>
    <t>02:36:45</t>
  </si>
  <si>
    <t>OID6634</t>
  </si>
  <si>
    <t>05:18:08</t>
  </si>
  <si>
    <t>12:04:15</t>
  </si>
  <si>
    <t>OID3981</t>
  </si>
  <si>
    <t>3303 Kennedy Springs Suite 830, East Amybury, MI 95595</t>
  </si>
  <si>
    <t>melissa.levy@rediffmail.com</t>
  </si>
  <si>
    <t>Levy</t>
  </si>
  <si>
    <t>Melissa</t>
  </si>
  <si>
    <t>CID185</t>
  </si>
  <si>
    <t>10:39:52</t>
  </si>
  <si>
    <t>PID044</t>
  </si>
  <si>
    <t>10:50:23</t>
  </si>
  <si>
    <t>OID9123</t>
  </si>
  <si>
    <t>56985 Sergio Extensions, Port Albert, CO 02898</t>
  </si>
  <si>
    <t>lauren.lane@gmail.com</t>
  </si>
  <si>
    <t>Lane</t>
  </si>
  <si>
    <t>CID164</t>
  </si>
  <si>
    <t>14:43:30</t>
  </si>
  <si>
    <t>11:10:43</t>
  </si>
  <si>
    <t>OID1661</t>
  </si>
  <si>
    <t>22:30:31</t>
  </si>
  <si>
    <t>15:52:52</t>
  </si>
  <si>
    <t>OID2842</t>
  </si>
  <si>
    <t>04:54:21</t>
  </si>
  <si>
    <t>18:12:36</t>
  </si>
  <si>
    <t>OID5831</t>
  </si>
  <si>
    <t>08:40:48</t>
  </si>
  <si>
    <t>01:03:02</t>
  </si>
  <si>
    <t>OID1744</t>
  </si>
  <si>
    <t>12:11:43</t>
  </si>
  <si>
    <t>05:37:55</t>
  </si>
  <si>
    <t>OID8955</t>
  </si>
  <si>
    <t>14131 Edwin Shore Apt. 190, Deniseberg, MD 90905</t>
  </si>
  <si>
    <t>sarah.butler@rediffmail.com</t>
  </si>
  <si>
    <t>Butler</t>
  </si>
  <si>
    <t>Sarah</t>
  </si>
  <si>
    <t>CID195</t>
  </si>
  <si>
    <t>07:58:32</t>
  </si>
  <si>
    <t>21:06:59</t>
  </si>
  <si>
    <t>OID3727</t>
  </si>
  <si>
    <t>Unit 5964 Box 0721, DPO AP 01840</t>
  </si>
  <si>
    <t>debra.rodriguez@rediffmail.com</t>
  </si>
  <si>
    <t>Rodriguez</t>
  </si>
  <si>
    <t>CID130</t>
  </si>
  <si>
    <t>09:28:52</t>
  </si>
  <si>
    <t>02:46:16</t>
  </si>
  <si>
    <t>OID4240</t>
  </si>
  <si>
    <t>20:13:27</t>
  </si>
  <si>
    <t>PID023</t>
  </si>
  <si>
    <t>00:38:36</t>
  </si>
  <si>
    <t>OID8486</t>
  </si>
  <si>
    <t>23:31:23</t>
  </si>
  <si>
    <t>12:10:36</t>
  </si>
  <si>
    <t>OID4552</t>
  </si>
  <si>
    <t>08:36:13</t>
  </si>
  <si>
    <t>08:18:15</t>
  </si>
  <si>
    <t>OID9404</t>
  </si>
  <si>
    <t>02:03:44</t>
  </si>
  <si>
    <t>02:05:06</t>
  </si>
  <si>
    <t>OID3556</t>
  </si>
  <si>
    <t>05:33:08</t>
  </si>
  <si>
    <t>PID028</t>
  </si>
  <si>
    <t>07:59:11</t>
  </si>
  <si>
    <t>OID1114</t>
  </si>
  <si>
    <t>21:24:42</t>
  </si>
  <si>
    <t>01:16:23</t>
  </si>
  <si>
    <t>OID3388</t>
  </si>
  <si>
    <t>03:55:26</t>
  </si>
  <si>
    <t>08:19:07</t>
  </si>
  <si>
    <t>OID2097</t>
  </si>
  <si>
    <t>15:09:01</t>
  </si>
  <si>
    <t>18:27:35</t>
  </si>
  <si>
    <t>OID3637</t>
  </si>
  <si>
    <t>90435 Bonnie Points Suite 886, Jenniferfurt, WV 20187</t>
  </si>
  <si>
    <t>rachel.lopez@outlook.com</t>
  </si>
  <si>
    <t>Lopez</t>
  </si>
  <si>
    <t>Rachel</t>
  </si>
  <si>
    <t>CID177</t>
  </si>
  <si>
    <t>16:20:46</t>
  </si>
  <si>
    <t>PID011</t>
  </si>
  <si>
    <t>05:45:27</t>
  </si>
  <si>
    <t>OID7287</t>
  </si>
  <si>
    <t>18:05:47</t>
  </si>
  <si>
    <t>12:05:04</t>
  </si>
  <si>
    <t>OID8004</t>
  </si>
  <si>
    <t>19:25:43</t>
  </si>
  <si>
    <t>08:47:14</t>
  </si>
  <si>
    <t>OID7417</t>
  </si>
  <si>
    <t>907 Kimberly Hill, Murrayfort, NH 88384</t>
  </si>
  <si>
    <t>mary.knight@yahoo.com</t>
  </si>
  <si>
    <t>Knight</t>
  </si>
  <si>
    <t>Mary</t>
  </si>
  <si>
    <t>CID165</t>
  </si>
  <si>
    <t>06:30:27</t>
  </si>
  <si>
    <t>PID030</t>
  </si>
  <si>
    <t>00:07:15</t>
  </si>
  <si>
    <t>OID5598</t>
  </si>
  <si>
    <t>03:55:32</t>
  </si>
  <si>
    <t>00:57:10</t>
  </si>
  <si>
    <t>OID7828</t>
  </si>
  <si>
    <t>02:03:42</t>
  </si>
  <si>
    <t>13:31:33</t>
  </si>
  <si>
    <t>OID1054</t>
  </si>
  <si>
    <t>00:38:35</t>
  </si>
  <si>
    <t>21:07:18</t>
  </si>
  <si>
    <t>OID8104</t>
  </si>
  <si>
    <t>934 Levine View, Brentport, NE 38210</t>
  </si>
  <si>
    <t>jason.lopez@outlook.com</t>
  </si>
  <si>
    <t>Jason</t>
  </si>
  <si>
    <t>CID187</t>
  </si>
  <si>
    <t>09:05:57</t>
  </si>
  <si>
    <t>07:13:46</t>
  </si>
  <si>
    <t>OID4399</t>
  </si>
  <si>
    <t>00:48:55</t>
  </si>
  <si>
    <t>04:04:19</t>
  </si>
  <si>
    <t>OID5190</t>
  </si>
  <si>
    <t>11:06:01</t>
  </si>
  <si>
    <t>00:31:47</t>
  </si>
  <si>
    <t>OID1833</t>
  </si>
  <si>
    <t>11:20:17</t>
  </si>
  <si>
    <t>03:46:35</t>
  </si>
  <si>
    <t>OID5182</t>
  </si>
  <si>
    <t>15:08:52</t>
  </si>
  <si>
    <t>PID047</t>
  </si>
  <si>
    <t>20:10:30</t>
  </si>
  <si>
    <t>OID7667</t>
  </si>
  <si>
    <t>4647 Hannah Centers, Rhodesburgh, NH 89363</t>
  </si>
  <si>
    <t>christy.chang@outlook.com</t>
  </si>
  <si>
    <t>Chang</t>
  </si>
  <si>
    <t>Christy</t>
  </si>
  <si>
    <t>CID123</t>
  </si>
  <si>
    <t>18:04:09</t>
  </si>
  <si>
    <t>01:25:50</t>
  </si>
  <si>
    <t>OID1592</t>
  </si>
  <si>
    <t>06:32:27</t>
  </si>
  <si>
    <t>10:33:07</t>
  </si>
  <si>
    <t>OID4011</t>
  </si>
  <si>
    <t>04:02:49</t>
  </si>
  <si>
    <t>02:52:20</t>
  </si>
  <si>
    <t>OID3125</t>
  </si>
  <si>
    <t>2417 Brown Ford, West Timothyside, RI 45629</t>
  </si>
  <si>
    <t>bruce.allen@rediffmail.com</t>
  </si>
  <si>
    <t>Allen</t>
  </si>
  <si>
    <t>Bruce</t>
  </si>
  <si>
    <t>CID170</t>
  </si>
  <si>
    <t>17:37:51</t>
  </si>
  <si>
    <t>PID038</t>
  </si>
  <si>
    <t>14:35:39</t>
  </si>
  <si>
    <t>OID2529</t>
  </si>
  <si>
    <t>13:27:30</t>
  </si>
  <si>
    <t>18:34:02</t>
  </si>
  <si>
    <t>OID9178</t>
  </si>
  <si>
    <t>06:31:20</t>
  </si>
  <si>
    <t>02:16:10</t>
  </si>
  <si>
    <t>OID5745</t>
  </si>
  <si>
    <t>14:16:13</t>
  </si>
  <si>
    <t>07:05:11</t>
  </si>
  <si>
    <t>OID8708</t>
  </si>
  <si>
    <t>18:15:03</t>
  </si>
  <si>
    <t>02:54:23</t>
  </si>
  <si>
    <t>OID7409</t>
  </si>
  <si>
    <t>16:03:33</t>
  </si>
  <si>
    <t>17:44:01</t>
  </si>
  <si>
    <t>OID5999</t>
  </si>
  <si>
    <t>14:14:53</t>
  </si>
  <si>
    <t>15:58:53</t>
  </si>
  <si>
    <t>OID7904</t>
  </si>
  <si>
    <t>11:28:09</t>
  </si>
  <si>
    <t>21:14:38</t>
  </si>
  <si>
    <t>OID8192</t>
  </si>
  <si>
    <t>02:07:12</t>
  </si>
  <si>
    <t>09:19:46</t>
  </si>
  <si>
    <t>OID6893</t>
  </si>
  <si>
    <t>07:20:39</t>
  </si>
  <si>
    <t>09:31:29</t>
  </si>
  <si>
    <t>OID9975</t>
  </si>
  <si>
    <t>23:12:16</t>
  </si>
  <si>
    <t>22:42:39</t>
  </si>
  <si>
    <t>OID3834</t>
  </si>
  <si>
    <t>11:21:30</t>
  </si>
  <si>
    <t>10:33:52</t>
  </si>
  <si>
    <t>OID3523</t>
  </si>
  <si>
    <t>21:12:03</t>
  </si>
  <si>
    <t>11:38:36</t>
  </si>
  <si>
    <t>OID9222</t>
  </si>
  <si>
    <t>5399 Hayes Well, West Pennystad, IL 93798</t>
  </si>
  <si>
    <t>sarah.benson@outlook.com</t>
  </si>
  <si>
    <t>Benson</t>
  </si>
  <si>
    <t>CID157</t>
  </si>
  <si>
    <t>14:30:24</t>
  </si>
  <si>
    <t>09:19:53</t>
  </si>
  <si>
    <t>OID2099</t>
  </si>
  <si>
    <t>19:20:26</t>
  </si>
  <si>
    <t>PID042</t>
  </si>
  <si>
    <t>10:41:43</t>
  </si>
  <si>
    <t>OID8225</t>
  </si>
  <si>
    <t>23:59:41</t>
  </si>
  <si>
    <t>12:27:25</t>
  </si>
  <si>
    <t>OID4538</t>
  </si>
  <si>
    <t>08:13:41</t>
  </si>
  <si>
    <t>06:38:04</t>
  </si>
  <si>
    <t>OID6410</t>
  </si>
  <si>
    <t>0889 Brady Points, Port Meganhaven, NM 26553</t>
  </si>
  <si>
    <t>rachael.robinson@rediffmail.com</t>
  </si>
  <si>
    <t>Robinson</t>
  </si>
  <si>
    <t>Rachael</t>
  </si>
  <si>
    <t>CID109</t>
  </si>
  <si>
    <t>12:35:16</t>
  </si>
  <si>
    <t>PID034</t>
  </si>
  <si>
    <t>23:43:28</t>
  </si>
  <si>
    <t>OID4436</t>
  </si>
  <si>
    <t>21:20:42</t>
  </si>
  <si>
    <t>18:45:41</t>
  </si>
  <si>
    <t>OID1420</t>
  </si>
  <si>
    <t>12:54:21</t>
  </si>
  <si>
    <t>17:14:37</t>
  </si>
  <si>
    <t>OID3186</t>
  </si>
  <si>
    <t>17:52:11</t>
  </si>
  <si>
    <t>04:19:31</t>
  </si>
  <si>
    <t>OID9600</t>
  </si>
  <si>
    <t>17381 Smith Ramp Suite 398, Courtneyville, AL 17756</t>
  </si>
  <si>
    <t>julie.meyer@yahoo.com</t>
  </si>
  <si>
    <t>Meyer</t>
  </si>
  <si>
    <t>Julie</t>
  </si>
  <si>
    <t>CID121</t>
  </si>
  <si>
    <t>10:06:44</t>
  </si>
  <si>
    <t>10:05:03</t>
  </si>
  <si>
    <t>OID6854</t>
  </si>
  <si>
    <t>9296 Villanueva Branch, East Kevin, CO 93912</t>
  </si>
  <si>
    <t>brandon.cruz@gmail.com</t>
  </si>
  <si>
    <t>Cruz</t>
  </si>
  <si>
    <t>Brandon</t>
  </si>
  <si>
    <t>CID192</t>
  </si>
  <si>
    <t>08:45:35</t>
  </si>
  <si>
    <t>00:24:43</t>
  </si>
  <si>
    <t>OID7256</t>
  </si>
  <si>
    <t>70426 Lindsey Overpass Apt. 030, Jessicafurt, AR 46269</t>
  </si>
  <si>
    <t>joshua.campbell@gmail.com</t>
  </si>
  <si>
    <t>Campbell</t>
  </si>
  <si>
    <t>Joshua</t>
  </si>
  <si>
    <t>CID176</t>
  </si>
  <si>
    <t>19:28:55</t>
  </si>
  <si>
    <t>08:26:50</t>
  </si>
  <si>
    <t>OID2440</t>
  </si>
  <si>
    <t>15:17:48</t>
  </si>
  <si>
    <t>11:00:03</t>
  </si>
  <si>
    <t>OID9980</t>
  </si>
  <si>
    <t>23:05:05</t>
  </si>
  <si>
    <t>15:18:11</t>
  </si>
  <si>
    <t>OID7593</t>
  </si>
  <si>
    <t>13:26:32</t>
  </si>
  <si>
    <t>08:34:53</t>
  </si>
  <si>
    <t>OID7382</t>
  </si>
  <si>
    <t>01:30:58</t>
  </si>
  <si>
    <t>05:46:53</t>
  </si>
  <si>
    <t>OID2523</t>
  </si>
  <si>
    <t>22:23:18</t>
  </si>
  <si>
    <t>06:00:55</t>
  </si>
  <si>
    <t>OID8860</t>
  </si>
  <si>
    <t>03:15:28</t>
  </si>
  <si>
    <t>07:24:54</t>
  </si>
  <si>
    <t>OID8162</t>
  </si>
  <si>
    <t>07:09:27</t>
  </si>
  <si>
    <t>14:35:45</t>
  </si>
  <si>
    <t>OID2412</t>
  </si>
  <si>
    <t>10:35:02</t>
  </si>
  <si>
    <t>15:34:31</t>
  </si>
  <si>
    <t>OID6794</t>
  </si>
  <si>
    <t>03:13:08</t>
  </si>
  <si>
    <t>19:37:21</t>
  </si>
  <si>
    <t>OID6945</t>
  </si>
  <si>
    <t>23:25:32</t>
  </si>
  <si>
    <t>11:52:12</t>
  </si>
  <si>
    <t>OID4169</t>
  </si>
  <si>
    <t>13:55:34</t>
  </si>
  <si>
    <t>06:50:14</t>
  </si>
  <si>
    <t>OID4932</t>
  </si>
  <si>
    <t>08413 Lynch Parkway, Calderonstad, NV 32697</t>
  </si>
  <si>
    <t>mark.summers@outlook.com</t>
  </si>
  <si>
    <t>Summers</t>
  </si>
  <si>
    <t>CID162</t>
  </si>
  <si>
    <t>17:18:51</t>
  </si>
  <si>
    <t>05:54:36</t>
  </si>
  <si>
    <t>OID2873</t>
  </si>
  <si>
    <t>01:52:14</t>
  </si>
  <si>
    <t>01:19:42</t>
  </si>
  <si>
    <t>OID7329</t>
  </si>
  <si>
    <t>16:22:11</t>
  </si>
  <si>
    <t>04:59:13</t>
  </si>
  <si>
    <t>OID1669</t>
  </si>
  <si>
    <t>20:53:18</t>
  </si>
  <si>
    <t>09:27:52</t>
  </si>
  <si>
    <t>OID9988</t>
  </si>
  <si>
    <t>598 Jasmine Harbor, Turnerberg, SD 02371</t>
  </si>
  <si>
    <t>sharon.thompson@yahoo.com</t>
  </si>
  <si>
    <t>Sharon</t>
  </si>
  <si>
    <t>CID100</t>
  </si>
  <si>
    <t>06:39:28</t>
  </si>
  <si>
    <t>13:39:02</t>
  </si>
  <si>
    <t>OID1219</t>
  </si>
  <si>
    <t>22:26:18</t>
  </si>
  <si>
    <t>20:28:31</t>
  </si>
  <si>
    <t>OID1013</t>
  </si>
  <si>
    <t>47821 William Station, East Ashleymouth, FL 20562</t>
  </si>
  <si>
    <t>susan.thompson@outlook.com</t>
  </si>
  <si>
    <t>Susan</t>
  </si>
  <si>
    <t>CID173</t>
  </si>
  <si>
    <t>21:07:49</t>
  </si>
  <si>
    <t>06:59:53</t>
  </si>
  <si>
    <t>OID6469</t>
  </si>
  <si>
    <t>06:40:47</t>
  </si>
  <si>
    <t>02:46:27</t>
  </si>
  <si>
    <t>OID9748</t>
  </si>
  <si>
    <t>065 Madison Way, Smithstad, CT 68011</t>
  </si>
  <si>
    <t>christian.clayton@yahoo.com</t>
  </si>
  <si>
    <t>Clayton</t>
  </si>
  <si>
    <t>Christian</t>
  </si>
  <si>
    <t>CID179</t>
  </si>
  <si>
    <t>06:00:22</t>
  </si>
  <si>
    <t>23:27:24</t>
  </si>
  <si>
    <t>OID5367</t>
  </si>
  <si>
    <t>688 Donald Oval Suite 089, Shepardport, CA 50844</t>
  </si>
  <si>
    <t>brendan.kelly@rediffmail.com</t>
  </si>
  <si>
    <t>Kelly</t>
  </si>
  <si>
    <t>Brendan</t>
  </si>
  <si>
    <t>CID113</t>
  </si>
  <si>
    <t>09:19:40</t>
  </si>
  <si>
    <t>00:41:18</t>
  </si>
  <si>
    <t>OID2173</t>
  </si>
  <si>
    <t>06912 Brown Pine Apt. 763, Teresamouth, HI 24377</t>
  </si>
  <si>
    <t>marcus.rogers@outlook.com</t>
  </si>
  <si>
    <t>Rogers</t>
  </si>
  <si>
    <t>Marcus</t>
  </si>
  <si>
    <t>CID126</t>
  </si>
  <si>
    <t>09:33:08</t>
  </si>
  <si>
    <t>23:40:03</t>
  </si>
  <si>
    <t>OID7303</t>
  </si>
  <si>
    <t>43920 Shaffer Valley Suite 531, South Jerry, MD 67120</t>
  </si>
  <si>
    <t>thomas.owens@outlook.com</t>
  </si>
  <si>
    <t>Owens</t>
  </si>
  <si>
    <t>CID142</t>
  </si>
  <si>
    <t>08:40:53</t>
  </si>
  <si>
    <t>06:51:49</t>
  </si>
  <si>
    <t>OID9247</t>
  </si>
  <si>
    <t>01:46:13</t>
  </si>
  <si>
    <t>17:23:49</t>
  </si>
  <si>
    <t>OID7996</t>
  </si>
  <si>
    <t>19:58:19</t>
  </si>
  <si>
    <t>16:29:18</t>
  </si>
  <si>
    <t>OID6906</t>
  </si>
  <si>
    <t>09:33:25</t>
  </si>
  <si>
    <t>09:15:42</t>
  </si>
  <si>
    <t>OID7065</t>
  </si>
  <si>
    <t>05:31:50</t>
  </si>
  <si>
    <t>09:05:02</t>
  </si>
  <si>
    <t>OID3760</t>
  </si>
  <si>
    <t>04:39:51</t>
  </si>
  <si>
    <t>23:47:36</t>
  </si>
  <si>
    <t>OID9187</t>
  </si>
  <si>
    <t>18295 Thomas River, Kochville, NH 80868</t>
  </si>
  <si>
    <t>kristina.haynes@yahoo.com</t>
  </si>
  <si>
    <t>Haynes</t>
  </si>
  <si>
    <t>Kristina</t>
  </si>
  <si>
    <t>CID188</t>
  </si>
  <si>
    <t>23:23:19</t>
  </si>
  <si>
    <t>19:09:08</t>
  </si>
  <si>
    <t>OID3837</t>
  </si>
  <si>
    <t>02:17:23</t>
  </si>
  <si>
    <t>14:04:30</t>
  </si>
  <si>
    <t>OID1966</t>
  </si>
  <si>
    <t>660 Karen Station Apt. 887, Allenside, ID 03170</t>
  </si>
  <si>
    <t>veronica.lopez@gmail.com</t>
  </si>
  <si>
    <t>Veronica</t>
  </si>
  <si>
    <t>CID131</t>
  </si>
  <si>
    <t>06:29:31</t>
  </si>
  <si>
    <t>14:59:43</t>
  </si>
  <si>
    <t>OID7850</t>
  </si>
  <si>
    <t>14:41:40</t>
  </si>
  <si>
    <t>12:37:13</t>
  </si>
  <si>
    <t>OID2505</t>
  </si>
  <si>
    <t>10:20:47</t>
  </si>
  <si>
    <t>11:51:15</t>
  </si>
  <si>
    <t>OID2619</t>
  </si>
  <si>
    <t>221 Frey Crossing Suite 192, South Taylorland, HI 72875</t>
  </si>
  <si>
    <t>james.brown@yahoo.com</t>
  </si>
  <si>
    <t>Brown</t>
  </si>
  <si>
    <t>James</t>
  </si>
  <si>
    <t>CID160</t>
  </si>
  <si>
    <t>02:00:46</t>
  </si>
  <si>
    <t>05:53:55</t>
  </si>
  <si>
    <t>OID1866</t>
  </si>
  <si>
    <t>135 Teresa Oval Apt. 825, East Katherineport, WY 13714</t>
  </si>
  <si>
    <t>leslie.montgomery@gmail.com</t>
  </si>
  <si>
    <t>Montgomery</t>
  </si>
  <si>
    <t>Leslie</t>
  </si>
  <si>
    <t>CID171</t>
  </si>
  <si>
    <t>13:36:46</t>
  </si>
  <si>
    <t>10:58:30</t>
  </si>
  <si>
    <t>OID1756</t>
  </si>
  <si>
    <t>78992 Justin Estates Suite 226, Floresberg, NM 40797</t>
  </si>
  <si>
    <t>natasha.michael@gmail.com</t>
  </si>
  <si>
    <t>Michael</t>
  </si>
  <si>
    <t>Natasha</t>
  </si>
  <si>
    <t>CID127</t>
  </si>
  <si>
    <t>23:00:06</t>
  </si>
  <si>
    <t>21:53:54</t>
  </si>
  <si>
    <t>OID9990</t>
  </si>
  <si>
    <t>19:33:15</t>
  </si>
  <si>
    <t>08:36:31</t>
  </si>
  <si>
    <t>OID5229</t>
  </si>
  <si>
    <t>15:13:07</t>
  </si>
  <si>
    <t>08:45:23</t>
  </si>
  <si>
    <t>OID3681</t>
  </si>
  <si>
    <t>424 Nichols Curve Suite 177, Lake Brianview, TX 17289</t>
  </si>
  <si>
    <t>ashley.rose@gmail.com</t>
  </si>
  <si>
    <t>Rose</t>
  </si>
  <si>
    <t>CID193</t>
  </si>
  <si>
    <t>05:02:16</t>
  </si>
  <si>
    <t>03:23:04</t>
  </si>
  <si>
    <t>OID4147</t>
  </si>
  <si>
    <t>3959 Bell Dale, North Jacob, LA 07934</t>
  </si>
  <si>
    <t>rebecca.figueroa@outlook.com</t>
  </si>
  <si>
    <t>Figueroa</t>
  </si>
  <si>
    <t>Rebecca</t>
  </si>
  <si>
    <t>CID129</t>
  </si>
  <si>
    <t>05:22:25</t>
  </si>
  <si>
    <t>17:27:56</t>
  </si>
  <si>
    <t>OID1243</t>
  </si>
  <si>
    <t>11:45:52</t>
  </si>
  <si>
    <t>17:17:44</t>
  </si>
  <si>
    <t>OID4185</t>
  </si>
  <si>
    <t>19:39:57</t>
  </si>
  <si>
    <t>03:11:02</t>
  </si>
  <si>
    <t>OID2779</t>
  </si>
  <si>
    <t>05:13:28</t>
  </si>
  <si>
    <t>08:43:40</t>
  </si>
  <si>
    <t>OID8649</t>
  </si>
  <si>
    <t>09:59:33</t>
  </si>
  <si>
    <t>14:52:37</t>
  </si>
  <si>
    <t>OID5389</t>
  </si>
  <si>
    <t>19:14:57</t>
  </si>
  <si>
    <t>12:38:37</t>
  </si>
  <si>
    <t>OID4840</t>
  </si>
  <si>
    <t>02:51:48</t>
  </si>
  <si>
    <t>19:44:28</t>
  </si>
  <si>
    <t>OID6597</t>
  </si>
  <si>
    <t>13:27:06</t>
  </si>
  <si>
    <t>04:03:12</t>
  </si>
  <si>
    <t>OID6973</t>
  </si>
  <si>
    <t>03765 Velazquez Knoll Suite 478, Richardshire, UT 17200</t>
  </si>
  <si>
    <t>megan.hunt@rediffmail.com</t>
  </si>
  <si>
    <t>Hunt</t>
  </si>
  <si>
    <t>Megan</t>
  </si>
  <si>
    <t>CID141</t>
  </si>
  <si>
    <t>00:56:01</t>
  </si>
  <si>
    <t>11:53:55</t>
  </si>
  <si>
    <t>OID2501</t>
  </si>
  <si>
    <t>16:59:14</t>
  </si>
  <si>
    <t>10:50:30</t>
  </si>
  <si>
    <t>OID6340</t>
  </si>
  <si>
    <t>09:20:03</t>
  </si>
  <si>
    <t>21:08:26</t>
  </si>
  <si>
    <t>OID5883</t>
  </si>
  <si>
    <t>19:56:33</t>
  </si>
  <si>
    <t>12:50:48</t>
  </si>
  <si>
    <t>OID5575</t>
  </si>
  <si>
    <t>16:06:37</t>
  </si>
  <si>
    <t>23:19:47</t>
  </si>
  <si>
    <t>OID8307</t>
  </si>
  <si>
    <t>4021 Brown Orchard Apt. 026, Christinahaven, OK 18499</t>
  </si>
  <si>
    <t>william.richmond@outlook.com</t>
  </si>
  <si>
    <t>Richmond</t>
  </si>
  <si>
    <t>CID151</t>
  </si>
  <si>
    <t>19:17:45</t>
  </si>
  <si>
    <t>06:46:07</t>
  </si>
  <si>
    <t>OID9756</t>
  </si>
  <si>
    <t>12:31:00</t>
  </si>
  <si>
    <t>20:14:30</t>
  </si>
  <si>
    <t>OID3900</t>
  </si>
  <si>
    <t>23:36:21</t>
  </si>
  <si>
    <t>06:35:14</t>
  </si>
  <si>
    <t>OID4412</t>
  </si>
  <si>
    <t>21:00:17</t>
  </si>
  <si>
    <t>05:27:44</t>
  </si>
  <si>
    <t>OID1597</t>
  </si>
  <si>
    <t>00:48:16</t>
  </si>
  <si>
    <t>20:53:04</t>
  </si>
  <si>
    <t>OID8913</t>
  </si>
  <si>
    <t>04:12:20</t>
  </si>
  <si>
    <t>OID7008</t>
  </si>
  <si>
    <t>16:28:56</t>
  </si>
  <si>
    <t>16:34:44</t>
  </si>
  <si>
    <t>OID3749</t>
  </si>
  <si>
    <t>16:13:35</t>
  </si>
  <si>
    <t>04:49:20</t>
  </si>
  <si>
    <t>OID7117</t>
  </si>
  <si>
    <t>02:14:28</t>
  </si>
  <si>
    <t>13:40:58</t>
  </si>
  <si>
    <t>OID1336</t>
  </si>
  <si>
    <t>18:13:08</t>
  </si>
  <si>
    <t>17:53:46</t>
  </si>
  <si>
    <t>OID6045</t>
  </si>
  <si>
    <t>06:30:50</t>
  </si>
  <si>
    <t>19:33:36</t>
  </si>
  <si>
    <t>OID2571</t>
  </si>
  <si>
    <t>09:49:51</t>
  </si>
  <si>
    <t>14:57:23</t>
  </si>
  <si>
    <t>OID5985</t>
  </si>
  <si>
    <t>18:16:24</t>
  </si>
  <si>
    <t>15:56:55</t>
  </si>
  <si>
    <t>OID9578</t>
  </si>
  <si>
    <t>02370 Laura Station Suite 309, Brandonville, DE 18875</t>
  </si>
  <si>
    <t>jessica.ruiz@rediffmail.com</t>
  </si>
  <si>
    <t>Ruiz</t>
  </si>
  <si>
    <t>Jessica</t>
  </si>
  <si>
    <t>CID102</t>
  </si>
  <si>
    <t>04:01:49</t>
  </si>
  <si>
    <t>13:33:06</t>
  </si>
  <si>
    <t>OID8609</t>
  </si>
  <si>
    <t>02:01:44</t>
  </si>
  <si>
    <t>18:29:39</t>
  </si>
  <si>
    <t>OID1693</t>
  </si>
  <si>
    <t>19:01:55</t>
  </si>
  <si>
    <t>01:23:40</t>
  </si>
  <si>
    <t>OID1041</t>
  </si>
  <si>
    <t>13:29:05</t>
  </si>
  <si>
    <t>06:33:59</t>
  </si>
  <si>
    <t>OID1179</t>
  </si>
  <si>
    <t>58608 Alexander Terrace, South Bryan, SC 85541</t>
  </si>
  <si>
    <t>gary.huff@gmail.com</t>
  </si>
  <si>
    <t>Huff</t>
  </si>
  <si>
    <t>CID104</t>
  </si>
  <si>
    <t>03:42:23</t>
  </si>
  <si>
    <t>05:56:42</t>
  </si>
  <si>
    <t>OID7910</t>
  </si>
  <si>
    <t>00:10:27</t>
  </si>
  <si>
    <t>09:51:24</t>
  </si>
  <si>
    <t>OID8575</t>
  </si>
  <si>
    <t>19:38:50</t>
  </si>
  <si>
    <t>17:40:16</t>
  </si>
  <si>
    <t>OID3145</t>
  </si>
  <si>
    <t>04:23:25</t>
  </si>
  <si>
    <t>23:44:50</t>
  </si>
  <si>
    <t>OID5671</t>
  </si>
  <si>
    <t>22:07:13</t>
  </si>
  <si>
    <t>10:04:49</t>
  </si>
  <si>
    <t>OID6246</t>
  </si>
  <si>
    <t>22:44:53</t>
  </si>
  <si>
    <t>04:29:06</t>
  </si>
  <si>
    <t>OID7954</t>
  </si>
  <si>
    <t>02:56:56</t>
  </si>
  <si>
    <t>OID4580</t>
  </si>
  <si>
    <t>3971 Ortiz Fields, Lake Jackfort, IA 97132</t>
  </si>
  <si>
    <t>mike.carter@rediffmail.com</t>
  </si>
  <si>
    <t>Carter</t>
  </si>
  <si>
    <t>Mike</t>
  </si>
  <si>
    <t>CID138</t>
  </si>
  <si>
    <t>17:57:56</t>
  </si>
  <si>
    <t>03:43:05</t>
  </si>
  <si>
    <t>OID7302</t>
  </si>
  <si>
    <t>05:26:03</t>
  </si>
  <si>
    <t>17:53:01</t>
  </si>
  <si>
    <t>OID9782</t>
  </si>
  <si>
    <t>20:45:00</t>
  </si>
  <si>
    <t>06:20:30</t>
  </si>
  <si>
    <t>OID9628</t>
  </si>
  <si>
    <t>14:02:18</t>
  </si>
  <si>
    <t>09:58:35</t>
  </si>
  <si>
    <t>OID3165</t>
  </si>
  <si>
    <t>PSC 3316, Box 9303, APO AE 29513</t>
  </si>
  <si>
    <t>mitchell.parker@yahoo.com</t>
  </si>
  <si>
    <t>CID153</t>
  </si>
  <si>
    <t>07:39:38</t>
  </si>
  <si>
    <t>13:24:08</t>
  </si>
  <si>
    <t>OID7555</t>
  </si>
  <si>
    <t>10:15:00</t>
  </si>
  <si>
    <t>20:27:42</t>
  </si>
  <si>
    <t>OID7102</t>
  </si>
  <si>
    <t>17:06:11</t>
  </si>
  <si>
    <t>14:47:52</t>
  </si>
  <si>
    <t>OID8680</t>
  </si>
  <si>
    <t>20:00:01</t>
  </si>
  <si>
    <t>05:06:18</t>
  </si>
  <si>
    <t>OID1246</t>
  </si>
  <si>
    <t>10:14:17</t>
  </si>
  <si>
    <t>12:34:36</t>
  </si>
  <si>
    <t>OID7754</t>
  </si>
  <si>
    <t>08:44:22</t>
  </si>
  <si>
    <t>20:10:43</t>
  </si>
  <si>
    <t>OID5130</t>
  </si>
  <si>
    <t>15:40:22</t>
  </si>
  <si>
    <t>05:37:56</t>
  </si>
  <si>
    <t>OID2944</t>
  </si>
  <si>
    <t>12:59:43</t>
  </si>
  <si>
    <t>07:28:15</t>
  </si>
  <si>
    <t>OID1477</t>
  </si>
  <si>
    <t>19:19:52</t>
  </si>
  <si>
    <t>22:42:24</t>
  </si>
  <si>
    <t>OID3574</t>
  </si>
  <si>
    <t>16:40:47</t>
  </si>
  <si>
    <t>13:33:00</t>
  </si>
  <si>
    <t>OID7156</t>
  </si>
  <si>
    <t>06:17:48</t>
  </si>
  <si>
    <t>05:26:44</t>
  </si>
  <si>
    <t>OID5186</t>
  </si>
  <si>
    <t>6262 Simpson Village, North Danielle, RI 76074</t>
  </si>
  <si>
    <t>amy.reid@rediffmail.com</t>
  </si>
  <si>
    <t>Reid</t>
  </si>
  <si>
    <t>CID178</t>
  </si>
  <si>
    <t>06:44:34</t>
  </si>
  <si>
    <t>04:24:31</t>
  </si>
  <si>
    <t>OID1159</t>
  </si>
  <si>
    <t>22:27:12</t>
  </si>
  <si>
    <t>20:27:13</t>
  </si>
  <si>
    <t>OID7946</t>
  </si>
  <si>
    <t>07:40:09</t>
  </si>
  <si>
    <t>19:52:34</t>
  </si>
  <si>
    <t>OID5255</t>
  </si>
  <si>
    <t>07:38:19</t>
  </si>
  <si>
    <t>15:59:36</t>
  </si>
  <si>
    <t>OID2353</t>
  </si>
  <si>
    <t>17:32:38</t>
  </si>
  <si>
    <t>12:54:20</t>
  </si>
  <si>
    <t>OID8203</t>
  </si>
  <si>
    <t>07:58:28</t>
  </si>
  <si>
    <t>03:13:28</t>
  </si>
  <si>
    <t>OID4719</t>
  </si>
  <si>
    <t>12:50:53</t>
  </si>
  <si>
    <t>15:38:50</t>
  </si>
  <si>
    <t>OID3358</t>
  </si>
  <si>
    <t>11:16:12</t>
  </si>
  <si>
    <t>20:03:28</t>
  </si>
  <si>
    <t>OID9735</t>
  </si>
  <si>
    <t>10:41:25</t>
  </si>
  <si>
    <t>21:16:04</t>
  </si>
  <si>
    <t>OID7205</t>
  </si>
  <si>
    <t>23:16:52</t>
  </si>
  <si>
    <t>00:57:26</t>
  </si>
  <si>
    <t>OID4659</t>
  </si>
  <si>
    <t>61263 Jacob Isle, Amandatown, TN 34321</t>
  </si>
  <si>
    <t>john.herrera@outlook.com</t>
  </si>
  <si>
    <t>Herrera</t>
  </si>
  <si>
    <t>John</t>
  </si>
  <si>
    <t>CID182</t>
  </si>
  <si>
    <t>12:42:34</t>
  </si>
  <si>
    <t>PID040</t>
  </si>
  <si>
    <t>21:47:08</t>
  </si>
  <si>
    <t>OID9451</t>
  </si>
  <si>
    <t>00:34:58</t>
  </si>
  <si>
    <t>21:59:14</t>
  </si>
  <si>
    <t>OID1135</t>
  </si>
  <si>
    <t>05:28:25</t>
  </si>
  <si>
    <t>17:39:16</t>
  </si>
  <si>
    <t>OID9700</t>
  </si>
  <si>
    <t>08:42:57</t>
  </si>
  <si>
    <t>21:10:06</t>
  </si>
  <si>
    <t>OID3980</t>
  </si>
  <si>
    <t>19:22:50</t>
  </si>
  <si>
    <t>15:54:45</t>
  </si>
  <si>
    <t>OID5834</t>
  </si>
  <si>
    <t>00:49:45</t>
  </si>
  <si>
    <t>23:47:53</t>
  </si>
  <si>
    <t>OID6987</t>
  </si>
  <si>
    <t>258 Michael Brooks Suite 363, Arnoldview, PA 49438</t>
  </si>
  <si>
    <t>lauren.long@gmail.com</t>
  </si>
  <si>
    <t>Long</t>
  </si>
  <si>
    <t>CID191</t>
  </si>
  <si>
    <t>08:01:11</t>
  </si>
  <si>
    <t>03:37:20</t>
  </si>
  <si>
    <t>OID8974</t>
  </si>
  <si>
    <t>981 Emily Stream, South Brianna, CO 98063</t>
  </si>
  <si>
    <t>valerie.carr@rediffmail.com</t>
  </si>
  <si>
    <t>Carr</t>
  </si>
  <si>
    <t>Valerie</t>
  </si>
  <si>
    <t>CID190</t>
  </si>
  <si>
    <t>11:30:05</t>
  </si>
  <si>
    <t>22:48:36</t>
  </si>
  <si>
    <t>OID3969</t>
  </si>
  <si>
    <t>00:06:39</t>
  </si>
  <si>
    <t>10:13:34</t>
  </si>
  <si>
    <t>OID1508</t>
  </si>
  <si>
    <t>07:05:22</t>
  </si>
  <si>
    <t>00:49:15</t>
  </si>
  <si>
    <t>OID4569</t>
  </si>
  <si>
    <t>02:19:52</t>
  </si>
  <si>
    <t>05:25:01</t>
  </si>
  <si>
    <t>OID5802</t>
  </si>
  <si>
    <t>07:27:00</t>
  </si>
  <si>
    <t>17:29:54</t>
  </si>
  <si>
    <t>OID2119</t>
  </si>
  <si>
    <t>09:11:07</t>
  </si>
  <si>
    <t>06:15:44</t>
  </si>
  <si>
    <t>OID1067</t>
  </si>
  <si>
    <t>13:29:40</t>
  </si>
  <si>
    <t>16:59:25</t>
  </si>
  <si>
    <t>OID9527</t>
  </si>
  <si>
    <t>22:40:50</t>
  </si>
  <si>
    <t>16:49:20</t>
  </si>
  <si>
    <t>OID8830</t>
  </si>
  <si>
    <t>09:57:13</t>
  </si>
  <si>
    <t>07:21:30</t>
  </si>
  <si>
    <t>OID5561</t>
  </si>
  <si>
    <t>03:23:26</t>
  </si>
  <si>
    <t>03:47:08</t>
  </si>
  <si>
    <t>OID3490</t>
  </si>
  <si>
    <t>15:31:26</t>
  </si>
  <si>
    <t>22:46:20</t>
  </si>
  <si>
    <t>OID6600</t>
  </si>
  <si>
    <t>00:33:26</t>
  </si>
  <si>
    <t>14:11:09</t>
  </si>
  <si>
    <t>OID2597</t>
  </si>
  <si>
    <t>00:33:32</t>
  </si>
  <si>
    <t>06:13:30</t>
  </si>
  <si>
    <t>OID7454</t>
  </si>
  <si>
    <t>02797 Martin Landing, South Michelle, VT 98781</t>
  </si>
  <si>
    <t>john.ramirez@outlook.com</t>
  </si>
  <si>
    <t>Ramirez</t>
  </si>
  <si>
    <t>CID116</t>
  </si>
  <si>
    <t>23:12:23</t>
  </si>
  <si>
    <t>22:30:30</t>
  </si>
  <si>
    <t>OID1898</t>
  </si>
  <si>
    <t>15:11:50</t>
  </si>
  <si>
    <t>05:34:02</t>
  </si>
  <si>
    <t>OID4815</t>
  </si>
  <si>
    <t>01:26:28</t>
  </si>
  <si>
    <t>08:30:48</t>
  </si>
  <si>
    <t>OID8034</t>
  </si>
  <si>
    <t>01:51:44</t>
  </si>
  <si>
    <t>20:50:23</t>
  </si>
  <si>
    <t>OID9630</t>
  </si>
  <si>
    <t>23:41:13</t>
  </si>
  <si>
    <t>14:01:51</t>
  </si>
  <si>
    <t>OID1586</t>
  </si>
  <si>
    <t>12:34:57</t>
  </si>
  <si>
    <t>07:28:42</t>
  </si>
  <si>
    <t>OID9816</t>
  </si>
  <si>
    <t>03:39:43</t>
  </si>
  <si>
    <t>22:07:35</t>
  </si>
  <si>
    <t>OID2338</t>
  </si>
  <si>
    <t>USCGC Harper, FPO AA 38349</t>
  </si>
  <si>
    <t>lindsey.byrd@rediffmail.com</t>
  </si>
  <si>
    <t>Byrd</t>
  </si>
  <si>
    <t>Lindsey</t>
  </si>
  <si>
    <t>CID112</t>
  </si>
  <si>
    <t>00:21:21</t>
  </si>
  <si>
    <t>18:42:20</t>
  </si>
  <si>
    <t>OID4575</t>
  </si>
  <si>
    <t>22:31:13</t>
  </si>
  <si>
    <t>22:27:32</t>
  </si>
  <si>
    <t>OID2270</t>
  </si>
  <si>
    <t>11:47:41</t>
  </si>
  <si>
    <t>06:46:28</t>
  </si>
  <si>
    <t>OID6097</t>
  </si>
  <si>
    <t>02:58:17</t>
  </si>
  <si>
    <t>10:10:51</t>
  </si>
  <si>
    <t>OID3902</t>
  </si>
  <si>
    <t>13:35:45</t>
  </si>
  <si>
    <t>08:44:39</t>
  </si>
  <si>
    <t>OID2704</t>
  </si>
  <si>
    <t>15:48:50</t>
  </si>
  <si>
    <t>10:38:44</t>
  </si>
  <si>
    <t>OID4101</t>
  </si>
  <si>
    <t>18:41:50</t>
  </si>
  <si>
    <t>09:01:24</t>
  </si>
  <si>
    <t>OID7812</t>
  </si>
  <si>
    <t>08:01:14</t>
  </si>
  <si>
    <t>06:30:57</t>
  </si>
  <si>
    <t>OID3550</t>
  </si>
  <si>
    <t>09:50:44</t>
  </si>
  <si>
    <t>08:35:05</t>
  </si>
  <si>
    <t>OID6541</t>
  </si>
  <si>
    <t>03:01:00</t>
  </si>
  <si>
    <t>22:41:22</t>
  </si>
  <si>
    <t>OID7412</t>
  </si>
  <si>
    <t>05:46:18</t>
  </si>
  <si>
    <t>06:47:14</t>
  </si>
  <si>
    <t>OID1071</t>
  </si>
  <si>
    <t>22:38:31</t>
  </si>
  <si>
    <t>09:55:21</t>
  </si>
  <si>
    <t>OID2949</t>
  </si>
  <si>
    <t>07:02:28</t>
  </si>
  <si>
    <t>18:43:17</t>
  </si>
  <si>
    <t>OID5283</t>
  </si>
  <si>
    <t>17:01:58</t>
  </si>
  <si>
    <t>22:31:31</t>
  </si>
  <si>
    <t>OID4369</t>
  </si>
  <si>
    <t>2850 Matthew Ford, North Yolandachester, FL 67488</t>
  </si>
  <si>
    <t>anne.oconnell@outlook.com</t>
  </si>
  <si>
    <t>Oconnell</t>
  </si>
  <si>
    <t>Anne</t>
  </si>
  <si>
    <t>CID186</t>
  </si>
  <si>
    <t>14:18:48</t>
  </si>
  <si>
    <t>17:52:44</t>
  </si>
  <si>
    <t>OID6767</t>
  </si>
  <si>
    <t>23:19:19</t>
  </si>
  <si>
    <t>16:44:13</t>
  </si>
  <si>
    <t>OID8585</t>
  </si>
  <si>
    <t>09:29:13</t>
  </si>
  <si>
    <t>05:28:12</t>
  </si>
  <si>
    <t>OID6002</t>
  </si>
  <si>
    <t>09:03:16</t>
  </si>
  <si>
    <t>23:25:51</t>
  </si>
  <si>
    <t>OID8741</t>
  </si>
  <si>
    <t>13:12:04</t>
  </si>
  <si>
    <t>02:55:39</t>
  </si>
  <si>
    <t>OID7090</t>
  </si>
  <si>
    <t>10:45:58</t>
  </si>
  <si>
    <t>18:03:08</t>
  </si>
  <si>
    <t>OID4097</t>
  </si>
  <si>
    <t>USCGC Simmons, FPO AA 60167</t>
  </si>
  <si>
    <t>taylor.davis@yahoo.com</t>
  </si>
  <si>
    <t>Davis</t>
  </si>
  <si>
    <t>Taylor</t>
  </si>
  <si>
    <t>CID166</t>
  </si>
  <si>
    <t>15:58:45</t>
  </si>
  <si>
    <t>21:25:23</t>
  </si>
  <si>
    <t>OID5372</t>
  </si>
  <si>
    <t>07:56:46</t>
  </si>
  <si>
    <t>04:53:37</t>
  </si>
  <si>
    <t>OID7003</t>
  </si>
  <si>
    <t>01:46:46</t>
  </si>
  <si>
    <t>23:35:16</t>
  </si>
  <si>
    <t>OID9805</t>
  </si>
  <si>
    <t>20:08:57</t>
  </si>
  <si>
    <t>10:24:24</t>
  </si>
  <si>
    <t>OID8114</t>
  </si>
  <si>
    <t>11:48:40</t>
  </si>
  <si>
    <t>11:50:19</t>
  </si>
  <si>
    <t>OID1379</t>
  </si>
  <si>
    <t>07:56:25</t>
  </si>
  <si>
    <t>14:41:09</t>
  </si>
  <si>
    <t>OID4560</t>
  </si>
  <si>
    <t>12:42:53</t>
  </si>
  <si>
    <t>18:27:23</t>
  </si>
  <si>
    <t>OID7486</t>
  </si>
  <si>
    <t>23:33:34</t>
  </si>
  <si>
    <t>03:29:39</t>
  </si>
  <si>
    <t>OID9705</t>
  </si>
  <si>
    <t>12:21:43</t>
  </si>
  <si>
    <t>12:28:28</t>
  </si>
  <si>
    <t>OID9627</t>
  </si>
  <si>
    <t>06:07:50</t>
  </si>
  <si>
    <t>21:17:39</t>
  </si>
  <si>
    <t>OID2941</t>
  </si>
  <si>
    <t>7112 Travis Glens Suite 790, Crystalland, WV 38373</t>
  </si>
  <si>
    <t>jason.nguyen@yahoo.com</t>
  </si>
  <si>
    <t>Nguyen</t>
  </si>
  <si>
    <t>CID103</t>
  </si>
  <si>
    <t>06:31:08</t>
  </si>
  <si>
    <t>09:46:43</t>
  </si>
  <si>
    <t>OID5913</t>
  </si>
  <si>
    <t>22:18:21</t>
  </si>
  <si>
    <t>09:31:27</t>
  </si>
  <si>
    <t>OID6373</t>
  </si>
  <si>
    <t>10:47:50</t>
  </si>
  <si>
    <t>00:08:51</t>
  </si>
  <si>
    <t>OID8347</t>
  </si>
  <si>
    <t>01:58:28</t>
  </si>
  <si>
    <t>14:37:23</t>
  </si>
  <si>
    <t>OID1076</t>
  </si>
  <si>
    <t>00:16:22</t>
  </si>
  <si>
    <t>20:47:44</t>
  </si>
  <si>
    <t>OID8074</t>
  </si>
  <si>
    <t>23:22:12</t>
  </si>
  <si>
    <t>19:46:32</t>
  </si>
  <si>
    <t>OID2938</t>
  </si>
  <si>
    <t>13:05:17</t>
  </si>
  <si>
    <t>06:33:55</t>
  </si>
  <si>
    <t>OID6936</t>
  </si>
  <si>
    <t>12:58:48</t>
  </si>
  <si>
    <t>20:01:38</t>
  </si>
  <si>
    <t>OID1086</t>
  </si>
  <si>
    <t>18:31:17</t>
  </si>
  <si>
    <t>00:13:11</t>
  </si>
  <si>
    <t>OID7380</t>
  </si>
  <si>
    <t>13:06:14</t>
  </si>
  <si>
    <t>09:33:35</t>
  </si>
  <si>
    <t>OID4642</t>
  </si>
  <si>
    <t>17:20:58</t>
  </si>
  <si>
    <t>08:00:47</t>
  </si>
  <si>
    <t>OID8295</t>
  </si>
  <si>
    <t>08:30:57</t>
  </si>
  <si>
    <t>22:46:23</t>
  </si>
  <si>
    <t>OID6635</t>
  </si>
  <si>
    <t>20:49:10</t>
  </si>
  <si>
    <t>00:02:50</t>
  </si>
  <si>
    <t>OID6869</t>
  </si>
  <si>
    <t>20:52:06</t>
  </si>
  <si>
    <t>22:25:26</t>
  </si>
  <si>
    <t>OID3421</t>
  </si>
  <si>
    <t>23:02:25</t>
  </si>
  <si>
    <t>15:26:43</t>
  </si>
  <si>
    <t>OID1826</t>
  </si>
  <si>
    <t>12:31:34</t>
  </si>
  <si>
    <t>14:00:27</t>
  </si>
  <si>
    <t>OID6856</t>
  </si>
  <si>
    <t>17:38:42</t>
  </si>
  <si>
    <t>08:20:59</t>
  </si>
  <si>
    <t>OID9872</t>
  </si>
  <si>
    <t>12:39:46</t>
  </si>
  <si>
    <t>06:54:02</t>
  </si>
  <si>
    <t>OID9465</t>
  </si>
  <si>
    <t>04:23:57</t>
  </si>
  <si>
    <t>15:02:28</t>
  </si>
  <si>
    <t>OID7432</t>
  </si>
  <si>
    <t>14:39:46</t>
  </si>
  <si>
    <t>01:31:08</t>
  </si>
  <si>
    <t>OID7980</t>
  </si>
  <si>
    <t>22:37:23</t>
  </si>
  <si>
    <t>22:55:27</t>
  </si>
  <si>
    <t>OID3134</t>
  </si>
  <si>
    <t>23:34:55</t>
  </si>
  <si>
    <t>12:51:15</t>
  </si>
  <si>
    <t>OID6057</t>
  </si>
  <si>
    <t>00:28:50</t>
  </si>
  <si>
    <t>07:44:52</t>
  </si>
  <si>
    <t>OID4746</t>
  </si>
  <si>
    <t>23:44:01</t>
  </si>
  <si>
    <t>13:16:36</t>
  </si>
  <si>
    <t>OID9692</t>
  </si>
  <si>
    <t>08:04:55</t>
  </si>
  <si>
    <t>05:57:45</t>
  </si>
  <si>
    <t>OID4892</t>
  </si>
  <si>
    <t>Unit 1433 Box 0246, DPO AP 94952</t>
  </si>
  <si>
    <t>christine.west@gmail.com</t>
  </si>
  <si>
    <t>West</t>
  </si>
  <si>
    <t>CID159</t>
  </si>
  <si>
    <t>13:33:22</t>
  </si>
  <si>
    <t>16:25:28</t>
  </si>
  <si>
    <t>OID6607</t>
  </si>
  <si>
    <t>16:30:13</t>
  </si>
  <si>
    <t>19:40:44</t>
  </si>
  <si>
    <t>OID6330</t>
  </si>
  <si>
    <t>04:10:37</t>
  </si>
  <si>
    <t>14:49:31</t>
  </si>
  <si>
    <t>OID8569</t>
  </si>
  <si>
    <t>00:33:10</t>
  </si>
  <si>
    <t>OID4014</t>
  </si>
  <si>
    <t>04:04:13</t>
  </si>
  <si>
    <t>03:08:05</t>
  </si>
  <si>
    <t>OID8716</t>
  </si>
  <si>
    <t>13:20:38</t>
  </si>
  <si>
    <t>18:14:45</t>
  </si>
  <si>
    <t>OID5402</t>
  </si>
  <si>
    <t>13:20:58</t>
  </si>
  <si>
    <t>05:33:41</t>
  </si>
  <si>
    <t>OID9267</t>
  </si>
  <si>
    <t>04:48:38</t>
  </si>
  <si>
    <t>02:27:18</t>
  </si>
  <si>
    <t>OID9324</t>
  </si>
  <si>
    <t>18:28:53</t>
  </si>
  <si>
    <t>08:11:19</t>
  </si>
  <si>
    <t>OID4465</t>
  </si>
  <si>
    <t>00:35:18</t>
  </si>
  <si>
    <t>13:40:51</t>
  </si>
  <si>
    <t>OID5326</t>
  </si>
  <si>
    <t>01:05:29</t>
  </si>
  <si>
    <t>16:59:55</t>
  </si>
  <si>
    <t>OID2659</t>
  </si>
  <si>
    <t>10:39:26</t>
  </si>
  <si>
    <t>18:18:32</t>
  </si>
  <si>
    <t>OID6420</t>
  </si>
  <si>
    <t>16:27:41</t>
  </si>
  <si>
    <t>19:48:44</t>
  </si>
  <si>
    <t>OID1706</t>
  </si>
  <si>
    <t>37549 Pope Isle Apt. 202, Tylerborough, MO 60042</t>
  </si>
  <si>
    <t>joseph.gaines@outlook.com</t>
  </si>
  <si>
    <t>Gaines</t>
  </si>
  <si>
    <t>CID139</t>
  </si>
  <si>
    <t>06:37:23</t>
  </si>
  <si>
    <t>09:39:48</t>
  </si>
  <si>
    <t>OID5700</t>
  </si>
  <si>
    <t>10:48:42</t>
  </si>
  <si>
    <t>08:45:48</t>
  </si>
  <si>
    <t>OID1153</t>
  </si>
  <si>
    <t>15:55:56</t>
  </si>
  <si>
    <t>04:35:15</t>
  </si>
  <si>
    <t>OID4364</t>
  </si>
  <si>
    <t>18:17:55</t>
  </si>
  <si>
    <t>03:11:30</t>
  </si>
  <si>
    <t>OID7664</t>
  </si>
  <si>
    <t>06:56:11</t>
  </si>
  <si>
    <t>11:18:01</t>
  </si>
  <si>
    <t>OID1663</t>
  </si>
  <si>
    <t>05:26:37</t>
  </si>
  <si>
    <t>02:56:50</t>
  </si>
  <si>
    <t>OID5366</t>
  </si>
  <si>
    <t>12:32:31</t>
  </si>
  <si>
    <t>08:29:32</t>
  </si>
  <si>
    <t>OID6264</t>
  </si>
  <si>
    <t>12:21:09</t>
  </si>
  <si>
    <t>11:01:20</t>
  </si>
  <si>
    <t>OID7059</t>
  </si>
  <si>
    <t>04:56:02</t>
  </si>
  <si>
    <t>05:35:11</t>
  </si>
  <si>
    <t>OID6752</t>
  </si>
  <si>
    <t>19:58:13</t>
  </si>
  <si>
    <t>18:41:53</t>
  </si>
  <si>
    <t>OID6237</t>
  </si>
  <si>
    <t>15:06:55</t>
  </si>
  <si>
    <t>20:48:48</t>
  </si>
  <si>
    <t>OID4514</t>
  </si>
  <si>
    <t>3079 John Parkway Suite 961, Port Kristaview, MT 91019</t>
  </si>
  <si>
    <t>bobby.forbes@gmail.com</t>
  </si>
  <si>
    <t>Forbes</t>
  </si>
  <si>
    <t>Bobby</t>
  </si>
  <si>
    <t>CID101</t>
  </si>
  <si>
    <t>09:56:25</t>
  </si>
  <si>
    <t>08:31:11</t>
  </si>
  <si>
    <t>OID2429</t>
  </si>
  <si>
    <t>10:43:13</t>
  </si>
  <si>
    <t>21:52:14</t>
  </si>
  <si>
    <t>OID1317</t>
  </si>
  <si>
    <t>00:47:16</t>
  </si>
  <si>
    <t>02:22:40</t>
  </si>
  <si>
    <t>OID8699</t>
  </si>
  <si>
    <t>22:23:04</t>
  </si>
  <si>
    <t>10:04:46</t>
  </si>
  <si>
    <t>OID7689</t>
  </si>
  <si>
    <t>18:09:14</t>
  </si>
  <si>
    <t>16:54:11</t>
  </si>
  <si>
    <t>OID4506</t>
  </si>
  <si>
    <t>09:34:31</t>
  </si>
  <si>
    <t>21:35:45</t>
  </si>
  <si>
    <t>OID9224</t>
  </si>
  <si>
    <t>00:12:03</t>
  </si>
  <si>
    <t>10:35:10</t>
  </si>
  <si>
    <t>OID8380</t>
  </si>
  <si>
    <t>11:54:10</t>
  </si>
  <si>
    <t>20:25:23</t>
  </si>
  <si>
    <t>OID7258</t>
  </si>
  <si>
    <t>02:32:24</t>
  </si>
  <si>
    <t>18:37:45</t>
  </si>
  <si>
    <t>OID9257</t>
  </si>
  <si>
    <t>02669 Kirk Squares, Davisville, VA 51272</t>
  </si>
  <si>
    <t>teresa.harvey@gmail.com</t>
  </si>
  <si>
    <t>Harvey</t>
  </si>
  <si>
    <t>Teresa</t>
  </si>
  <si>
    <t>CID108</t>
  </si>
  <si>
    <t>19:16:06</t>
  </si>
  <si>
    <t>15:45:02</t>
  </si>
  <si>
    <t>OID6217</t>
  </si>
  <si>
    <t>01:47:49</t>
  </si>
  <si>
    <t>04:33:43</t>
  </si>
  <si>
    <t>OID3469</t>
  </si>
  <si>
    <t>08:21:37</t>
  </si>
  <si>
    <t>10:25:49</t>
  </si>
  <si>
    <t>OID3568</t>
  </si>
  <si>
    <t>06:40:28</t>
  </si>
  <si>
    <t>13:02:42</t>
  </si>
  <si>
    <t>OID9808</t>
  </si>
  <si>
    <t>06:57:51</t>
  </si>
  <si>
    <t>03:06:30</t>
  </si>
  <si>
    <t>OID1692</t>
  </si>
  <si>
    <t>19:53:01</t>
  </si>
  <si>
    <t>15:45:08</t>
  </si>
  <si>
    <t>OID4368</t>
  </si>
  <si>
    <t>04:56:51</t>
  </si>
  <si>
    <t>00:43:57</t>
  </si>
  <si>
    <t>OID6103</t>
  </si>
  <si>
    <t>22:10:44</t>
  </si>
  <si>
    <t>06:49:56</t>
  </si>
  <si>
    <t>OID3209</t>
  </si>
  <si>
    <t>16:27:25</t>
  </si>
  <si>
    <t>09:43:17</t>
  </si>
  <si>
    <t>OID4965</t>
  </si>
  <si>
    <t>11:32:19</t>
  </si>
  <si>
    <t>19:28:23</t>
  </si>
  <si>
    <t>OID9798</t>
  </si>
  <si>
    <t>02:22:56</t>
  </si>
  <si>
    <t>19:56:54</t>
  </si>
  <si>
    <t>OID9804</t>
  </si>
  <si>
    <t>02:59:45</t>
  </si>
  <si>
    <t>22:34:39</t>
  </si>
  <si>
    <t>OID6716</t>
  </si>
  <si>
    <t>05:24:44</t>
  </si>
  <si>
    <t>10:33:35</t>
  </si>
  <si>
    <t>OID4415</t>
  </si>
  <si>
    <t>05:48:39</t>
  </si>
  <si>
    <t>10:48:56</t>
  </si>
  <si>
    <t>OID5210</t>
  </si>
  <si>
    <t>10:17:52</t>
  </si>
  <si>
    <t>14:09:23</t>
  </si>
  <si>
    <t>OID5996</t>
  </si>
  <si>
    <t>23:29:03</t>
  </si>
  <si>
    <t>10:20:44</t>
  </si>
  <si>
    <t>OID8628</t>
  </si>
  <si>
    <t>21:20:28</t>
  </si>
  <si>
    <t>14:57:06</t>
  </si>
  <si>
    <t>OID9112</t>
  </si>
  <si>
    <t>03:43:44</t>
  </si>
  <si>
    <t>20:10:38</t>
  </si>
  <si>
    <t>OID3967</t>
  </si>
  <si>
    <t>15:41:07</t>
  </si>
  <si>
    <t>00:30:57</t>
  </si>
  <si>
    <t>OID4081</t>
  </si>
  <si>
    <t>14:08:36</t>
  </si>
  <si>
    <t>07:27:27</t>
  </si>
  <si>
    <t>OID9745</t>
  </si>
  <si>
    <t>01:21:39</t>
  </si>
  <si>
    <t>07:07:24</t>
  </si>
  <si>
    <t>OID6453</t>
  </si>
  <si>
    <t>16:24:38</t>
  </si>
  <si>
    <t>17:09:22</t>
  </si>
  <si>
    <t>OID9360</t>
  </si>
  <si>
    <t>23:51:56</t>
  </si>
  <si>
    <t>10:44:36</t>
  </si>
  <si>
    <t>OID2746</t>
  </si>
  <si>
    <t>694 Graham Prairie Apt. 887, Jimenezfurt, MI 33044</t>
  </si>
  <si>
    <t>marcus.valenzuela@yahoo.com</t>
  </si>
  <si>
    <t>Valenzuela</t>
  </si>
  <si>
    <t>CID152</t>
  </si>
  <si>
    <t>13:38:46</t>
  </si>
  <si>
    <t>08:18:11</t>
  </si>
  <si>
    <t>OID1309</t>
  </si>
  <si>
    <t>12:35:14</t>
  </si>
  <si>
    <t>OID4402</t>
  </si>
  <si>
    <t>19:20:55</t>
  </si>
  <si>
    <t>02:04:13</t>
  </si>
  <si>
    <t>OID8692</t>
  </si>
  <si>
    <t>11:25:35</t>
  </si>
  <si>
    <t>11:34:01</t>
  </si>
  <si>
    <t>OID1411</t>
  </si>
  <si>
    <t>16:29:02</t>
  </si>
  <si>
    <t>01:24:01</t>
  </si>
  <si>
    <t>OID1418</t>
  </si>
  <si>
    <t>20:14:00</t>
  </si>
  <si>
    <t>23:40:15</t>
  </si>
  <si>
    <t>OID4599</t>
  </si>
  <si>
    <t>23:53:27</t>
  </si>
  <si>
    <t>10:51:20</t>
  </si>
  <si>
    <t>OID5108</t>
  </si>
  <si>
    <t>05:11:05</t>
  </si>
  <si>
    <t>12:09:51</t>
  </si>
  <si>
    <t>OID6297</t>
  </si>
  <si>
    <t>14:05:53</t>
  </si>
  <si>
    <t>07:11:09</t>
  </si>
  <si>
    <t>OID5978</t>
  </si>
  <si>
    <t>04:39:06</t>
  </si>
  <si>
    <t>14:00:52</t>
  </si>
  <si>
    <t>OID4548</t>
  </si>
  <si>
    <t>11:35:56</t>
  </si>
  <si>
    <t>22:11:06</t>
  </si>
  <si>
    <t>OID3035</t>
  </si>
  <si>
    <t>23:08:52</t>
  </si>
  <si>
    <t>10:28:03</t>
  </si>
  <si>
    <t>OID6608</t>
  </si>
  <si>
    <t>01:22:23</t>
  </si>
  <si>
    <t>13:06:48</t>
  </si>
  <si>
    <t>OID9515</t>
  </si>
  <si>
    <t>15:27:26</t>
  </si>
  <si>
    <t>03:53:04</t>
  </si>
  <si>
    <t>OID8270</t>
  </si>
  <si>
    <t>11:58:32</t>
  </si>
  <si>
    <t>06:22:42</t>
  </si>
  <si>
    <t>OID1134</t>
  </si>
  <si>
    <t>16:45:09</t>
  </si>
  <si>
    <t>19:28:31</t>
  </si>
  <si>
    <t>OID2519</t>
  </si>
  <si>
    <t>18:54:47</t>
  </si>
  <si>
    <t>05:44:11</t>
  </si>
  <si>
    <t>OID3570</t>
  </si>
  <si>
    <t>11:54:49</t>
  </si>
  <si>
    <t>OID7359</t>
  </si>
  <si>
    <t>19:04:22</t>
  </si>
  <si>
    <t>12:57:10</t>
  </si>
  <si>
    <t>OID5272</t>
  </si>
  <si>
    <t>16:26:05</t>
  </si>
  <si>
    <t>20:32:03</t>
  </si>
  <si>
    <t>OID1686</t>
  </si>
  <si>
    <t>09:50:58</t>
  </si>
  <si>
    <t>09:44:25</t>
  </si>
  <si>
    <t>OID9584</t>
  </si>
  <si>
    <t>22:28:20</t>
  </si>
  <si>
    <t>01:46:15</t>
  </si>
  <si>
    <t>OID4685</t>
  </si>
  <si>
    <t>21:42:51</t>
  </si>
  <si>
    <t>00:17:47</t>
  </si>
  <si>
    <t>OID1137</t>
  </si>
  <si>
    <t>04:57:03</t>
  </si>
  <si>
    <t>18:15:56</t>
  </si>
  <si>
    <t>OID7866</t>
  </si>
  <si>
    <t>19:43:27</t>
  </si>
  <si>
    <t>15:04:45</t>
  </si>
  <si>
    <t>OID9743</t>
  </si>
  <si>
    <t>09:03:23</t>
  </si>
  <si>
    <t>17:19:09</t>
  </si>
  <si>
    <t>OID3607</t>
  </si>
  <si>
    <t>09:07:45</t>
  </si>
  <si>
    <t>21:12:50</t>
  </si>
  <si>
    <t>OID9693</t>
  </si>
  <si>
    <t>25126 Nancy Fort Suite 568, Alexandrachester, AZ 44823</t>
  </si>
  <si>
    <t>brian.kennedy@outlook.com</t>
  </si>
  <si>
    <t>Kennedy</t>
  </si>
  <si>
    <t>Brian</t>
  </si>
  <si>
    <t>CID111</t>
  </si>
  <si>
    <t>06:09:27</t>
  </si>
  <si>
    <t>18:32:14</t>
  </si>
  <si>
    <t>OID8681</t>
  </si>
  <si>
    <t>14:51:25</t>
  </si>
  <si>
    <t>13:25:18</t>
  </si>
  <si>
    <t>OID6749</t>
  </si>
  <si>
    <t>02:45:47</t>
  </si>
  <si>
    <t>02:43:38</t>
  </si>
  <si>
    <t>OID4481</t>
  </si>
  <si>
    <t>17:07:06</t>
  </si>
  <si>
    <t>01:16:21</t>
  </si>
  <si>
    <t>OID7759</t>
  </si>
  <si>
    <t>10:10:26</t>
  </si>
  <si>
    <t>07:53:58</t>
  </si>
  <si>
    <t>OID5610</t>
  </si>
  <si>
    <t>01:29:42</t>
  </si>
  <si>
    <t>21:43:03</t>
  </si>
  <si>
    <t>OID5081</t>
  </si>
  <si>
    <t>06:23:31</t>
  </si>
  <si>
    <t>07:51:16</t>
  </si>
  <si>
    <t>OID6912</t>
  </si>
  <si>
    <t>22:15:50</t>
  </si>
  <si>
    <t>17:09:49</t>
  </si>
  <si>
    <t>OID6229</t>
  </si>
  <si>
    <t>10:01:40</t>
  </si>
  <si>
    <t>04:48:30</t>
  </si>
  <si>
    <t>OID6943</t>
  </si>
  <si>
    <t>01:56:42</t>
  </si>
  <si>
    <t>23:41:08</t>
  </si>
  <si>
    <t>OID8431</t>
  </si>
  <si>
    <t>06:56:06</t>
  </si>
  <si>
    <t>17:05:21</t>
  </si>
  <si>
    <t>OID3348</t>
  </si>
  <si>
    <t>00:26:45</t>
  </si>
  <si>
    <t>03:34:35</t>
  </si>
  <si>
    <t>OID9915</t>
  </si>
  <si>
    <t>00:56:16</t>
  </si>
  <si>
    <t>19:02:37</t>
  </si>
  <si>
    <t>OID1269</t>
  </si>
  <si>
    <t>11:02:15</t>
  </si>
  <si>
    <t>12:17:34</t>
  </si>
  <si>
    <t>OID9822</t>
  </si>
  <si>
    <t>23:09:43</t>
  </si>
  <si>
    <t>07:48:29</t>
  </si>
  <si>
    <t>OID9398</t>
  </si>
  <si>
    <t>17:13:41</t>
  </si>
  <si>
    <t>07:05:58</t>
  </si>
  <si>
    <t>OID8988</t>
  </si>
  <si>
    <t>21:18:20</t>
  </si>
  <si>
    <t>01:09:33</t>
  </si>
  <si>
    <t>OID6771</t>
  </si>
  <si>
    <t>13:53:47</t>
  </si>
  <si>
    <t>19:45:13</t>
  </si>
  <si>
    <t>OID3140</t>
  </si>
  <si>
    <t>13:15:51</t>
  </si>
  <si>
    <t>15:22:10</t>
  </si>
  <si>
    <t>OID5787</t>
  </si>
  <si>
    <t>09:07:52</t>
  </si>
  <si>
    <t>04:27:02</t>
  </si>
  <si>
    <t>OID8388</t>
  </si>
  <si>
    <t>13:48:26</t>
  </si>
  <si>
    <t>01:05:15</t>
  </si>
  <si>
    <t>OID5605</t>
  </si>
  <si>
    <t>15:38:07</t>
  </si>
  <si>
    <t>02:08:49</t>
  </si>
  <si>
    <t>OID8041</t>
  </si>
  <si>
    <t>20:24:13</t>
  </si>
  <si>
    <t>19:40:45</t>
  </si>
  <si>
    <t>OID5850</t>
  </si>
  <si>
    <t>10:56:05</t>
  </si>
  <si>
    <t>10:55:08</t>
  </si>
  <si>
    <t>OID6555</t>
  </si>
  <si>
    <t>16:14:09</t>
  </si>
  <si>
    <t>18:54:33</t>
  </si>
  <si>
    <t>OID6374</t>
  </si>
  <si>
    <t>01:07:36</t>
  </si>
  <si>
    <t>23:24:39</t>
  </si>
  <si>
    <t>OID2157</t>
  </si>
  <si>
    <t>07:38:34</t>
  </si>
  <si>
    <t>04:27:04</t>
  </si>
  <si>
    <t>OID1520</t>
  </si>
  <si>
    <t>16:05:07</t>
  </si>
  <si>
    <t>03:04:26</t>
  </si>
  <si>
    <t>OID8542</t>
  </si>
  <si>
    <t>02:05:20</t>
  </si>
  <si>
    <t>23:34:28</t>
  </si>
  <si>
    <t>OID3467</t>
  </si>
  <si>
    <t>15:52:42</t>
  </si>
  <si>
    <t>17:56:01</t>
  </si>
  <si>
    <t>OID5696</t>
  </si>
  <si>
    <t>05:38:59</t>
  </si>
  <si>
    <t>05:40:38</t>
  </si>
  <si>
    <t>OID1573</t>
  </si>
  <si>
    <t>10:39:08</t>
  </si>
  <si>
    <t>21:08:59</t>
  </si>
  <si>
    <t>OID7453</t>
  </si>
  <si>
    <t>22:41:33</t>
  </si>
  <si>
    <t>19:49:32</t>
  </si>
  <si>
    <t>OID7358</t>
  </si>
  <si>
    <t>08:17:58</t>
  </si>
  <si>
    <t>15:26:04</t>
  </si>
  <si>
    <t>OID1157</t>
  </si>
  <si>
    <t>10:04:54</t>
  </si>
  <si>
    <t>12:19:34</t>
  </si>
  <si>
    <t>OID8953</t>
  </si>
  <si>
    <t>07:24:20</t>
  </si>
  <si>
    <t>22:51:56</t>
  </si>
  <si>
    <t>OID1046</t>
  </si>
  <si>
    <t>12:18:47</t>
  </si>
  <si>
    <t>17:00:22</t>
  </si>
  <si>
    <t>OID2686</t>
  </si>
  <si>
    <t>23:33:51</t>
  </si>
  <si>
    <t>20:59:40</t>
  </si>
  <si>
    <t>OID8869</t>
  </si>
  <si>
    <t>05:56:26</t>
  </si>
  <si>
    <t>02:51:35</t>
  </si>
  <si>
    <t>OID3097</t>
  </si>
  <si>
    <t>09:05:06</t>
  </si>
  <si>
    <t>09:15:50</t>
  </si>
  <si>
    <t>OID7679</t>
  </si>
  <si>
    <t>02:44:55</t>
  </si>
  <si>
    <t>19:18:19</t>
  </si>
  <si>
    <t>OID4070</t>
  </si>
  <si>
    <t>15:52:25</t>
  </si>
  <si>
    <t>OID4875</t>
  </si>
  <si>
    <t>20:00:32</t>
  </si>
  <si>
    <t>02:46:19</t>
  </si>
  <si>
    <t>OID7806</t>
  </si>
  <si>
    <t>13:09:47</t>
  </si>
  <si>
    <t>02:34:25</t>
  </si>
  <si>
    <t>OID5832</t>
  </si>
  <si>
    <t>00:00:42</t>
  </si>
  <si>
    <t>09:43:27</t>
  </si>
  <si>
    <t>OID8169</t>
  </si>
  <si>
    <t>15:21:29</t>
  </si>
  <si>
    <t>16:10:50</t>
  </si>
  <si>
    <t>OID5607</t>
  </si>
  <si>
    <t>03:08:52</t>
  </si>
  <si>
    <t>02:09:48</t>
  </si>
  <si>
    <t>OID2991</t>
  </si>
  <si>
    <t>16:08:19</t>
  </si>
  <si>
    <t>14:13:38</t>
  </si>
  <si>
    <t>OID2152</t>
  </si>
  <si>
    <t>08:48:02</t>
  </si>
  <si>
    <t>04:32:42</t>
  </si>
  <si>
    <t>OID9880</t>
  </si>
  <si>
    <t>07:53:31</t>
  </si>
  <si>
    <t>12:30:02</t>
  </si>
  <si>
    <t>OID4770</t>
  </si>
  <si>
    <t>07:09:53</t>
  </si>
  <si>
    <t>01:45:28</t>
  </si>
  <si>
    <t>OID8620</t>
  </si>
  <si>
    <t>01:12:58</t>
  </si>
  <si>
    <t>15:34:34</t>
  </si>
  <si>
    <t>OID1956</t>
  </si>
  <si>
    <t>17:14:10</t>
  </si>
  <si>
    <t>07:52:23</t>
  </si>
  <si>
    <t>OID2170</t>
  </si>
  <si>
    <t>00:47:31</t>
  </si>
  <si>
    <t>04:25:34</t>
  </si>
  <si>
    <t>OID3616</t>
  </si>
  <si>
    <t>09:51:58</t>
  </si>
  <si>
    <t>00:57:17</t>
  </si>
  <si>
    <t>OID6503</t>
  </si>
  <si>
    <t>07:23:46</t>
  </si>
  <si>
    <t>19:20:51</t>
  </si>
  <si>
    <t>OID7606</t>
  </si>
  <si>
    <t>06:23:07</t>
  </si>
  <si>
    <t>22:08:17</t>
  </si>
  <si>
    <t>OID6898</t>
  </si>
  <si>
    <t>00:31:21</t>
  </si>
  <si>
    <t>18:49:59</t>
  </si>
  <si>
    <t>OID8494</t>
  </si>
  <si>
    <t>16:09:29</t>
  </si>
  <si>
    <t>21:46:52</t>
  </si>
  <si>
    <t>OID6911</t>
  </si>
  <si>
    <t>12:37:05</t>
  </si>
  <si>
    <t>01:59:03</t>
  </si>
  <si>
    <t>OID3319</t>
  </si>
  <si>
    <t>15:28:39</t>
  </si>
  <si>
    <t>17:27:33</t>
  </si>
  <si>
    <t>OID4670</t>
  </si>
  <si>
    <t>09:02:09</t>
  </si>
  <si>
    <t>12:37:23</t>
  </si>
  <si>
    <t>OID7688</t>
  </si>
  <si>
    <t>11:25:58</t>
  </si>
  <si>
    <t>00:47:19</t>
  </si>
  <si>
    <t>OID8577</t>
  </si>
  <si>
    <t>18:12:43</t>
  </si>
  <si>
    <t>04:03:43</t>
  </si>
  <si>
    <t>OID5126</t>
  </si>
  <si>
    <t>01:56:00</t>
  </si>
  <si>
    <t>04:09:40</t>
  </si>
  <si>
    <t>OID6304</t>
  </si>
  <si>
    <t>16:46:20</t>
  </si>
  <si>
    <t>23:34:14</t>
  </si>
  <si>
    <t>OID4411</t>
  </si>
  <si>
    <t>00:00:51</t>
  </si>
  <si>
    <t>12:35:46</t>
  </si>
  <si>
    <t>OID3502</t>
  </si>
  <si>
    <t>14:14:46</t>
  </si>
  <si>
    <t>05:01:37</t>
  </si>
  <si>
    <t>OID4432</t>
  </si>
  <si>
    <t>09:09:46</t>
  </si>
  <si>
    <t>14:37:48</t>
  </si>
  <si>
    <t>OID2701</t>
  </si>
  <si>
    <t>09:55:32</t>
  </si>
  <si>
    <t>01:48:02</t>
  </si>
  <si>
    <t>OID6974</t>
  </si>
  <si>
    <t>08:49:03</t>
  </si>
  <si>
    <t>13:50:14</t>
  </si>
  <si>
    <t>OID5502</t>
  </si>
  <si>
    <t>09:28:47</t>
  </si>
  <si>
    <t>10:35:41</t>
  </si>
  <si>
    <t>OID9577</t>
  </si>
  <si>
    <t>17:27:57</t>
  </si>
  <si>
    <t>21:19:14</t>
  </si>
  <si>
    <t>OID4558</t>
  </si>
  <si>
    <t>20:26:25</t>
  </si>
  <si>
    <t>00:40:20</t>
  </si>
  <si>
    <t>OID4643</t>
  </si>
  <si>
    <t>08:01:21</t>
  </si>
  <si>
    <t>12:22:52</t>
  </si>
  <si>
    <t>OID2817</t>
  </si>
  <si>
    <t>02:21:23</t>
  </si>
  <si>
    <t>18:58:15</t>
  </si>
  <si>
    <t>OID4295</t>
  </si>
  <si>
    <t>09:53:18</t>
  </si>
  <si>
    <t>17:44:17</t>
  </si>
  <si>
    <t>OID4710</t>
  </si>
  <si>
    <t>20:36:00</t>
  </si>
  <si>
    <t>06:04:50</t>
  </si>
  <si>
    <t>OID2121</t>
  </si>
  <si>
    <t>04:38:19</t>
  </si>
  <si>
    <t>19:13:06</t>
  </si>
  <si>
    <t>OID9964</t>
  </si>
  <si>
    <t>00:57:21</t>
  </si>
  <si>
    <t>08:09:52</t>
  </si>
  <si>
    <t>OID4032</t>
  </si>
  <si>
    <t>16:23:04</t>
  </si>
  <si>
    <t>20:47:13</t>
  </si>
  <si>
    <t>OID8875</t>
  </si>
  <si>
    <t>13:23:35</t>
  </si>
  <si>
    <t>10:38:12</t>
  </si>
  <si>
    <t>OID7609</t>
  </si>
  <si>
    <t>13:39:21</t>
  </si>
  <si>
    <t>04:06:55</t>
  </si>
  <si>
    <t>OID7663</t>
  </si>
  <si>
    <t>14:05:20</t>
  </si>
  <si>
    <t>06:34:00</t>
  </si>
  <si>
    <t>OID3792</t>
  </si>
  <si>
    <t>10:08:54</t>
  </si>
  <si>
    <t>11:48:17</t>
  </si>
  <si>
    <t>OID1699</t>
  </si>
  <si>
    <t>03:46:23</t>
  </si>
  <si>
    <t>19:16:28</t>
  </si>
  <si>
    <t>OID6123</t>
  </si>
  <si>
    <t>12:55:59</t>
  </si>
  <si>
    <t>23:53:21</t>
  </si>
  <si>
    <t>OID6520</t>
  </si>
  <si>
    <t>11:25:46</t>
  </si>
  <si>
    <t>04:13:27</t>
  </si>
  <si>
    <t>OID1911</t>
  </si>
  <si>
    <t>21:47:03</t>
  </si>
  <si>
    <t>01:19:56</t>
  </si>
  <si>
    <t>OID3689</t>
  </si>
  <si>
    <t>15:16:54</t>
  </si>
  <si>
    <t>14:52:54</t>
  </si>
  <si>
    <t>OID3509</t>
  </si>
  <si>
    <t>13:19:45</t>
  </si>
  <si>
    <t>22:42:51</t>
  </si>
  <si>
    <t>OID6886</t>
  </si>
  <si>
    <t>22:54:40</t>
  </si>
  <si>
    <t>15:09:49</t>
  </si>
  <si>
    <t>OID3136</t>
  </si>
  <si>
    <t>08:00:35</t>
  </si>
  <si>
    <t>17:21:43</t>
  </si>
  <si>
    <t>OID1905</t>
  </si>
  <si>
    <t>5016 Snow Mountains Apt. 063, New Seanport, WY 41492</t>
  </si>
  <si>
    <t>karl.gallagher@rediffmail.com</t>
  </si>
  <si>
    <t>Gallagher</t>
  </si>
  <si>
    <t>Karl</t>
  </si>
  <si>
    <t>CID115</t>
  </si>
  <si>
    <t>19:57:06</t>
  </si>
  <si>
    <t>13:46:47</t>
  </si>
  <si>
    <t>OID9634</t>
  </si>
  <si>
    <t>23:05:41</t>
  </si>
  <si>
    <t>12:07:00</t>
  </si>
  <si>
    <t>OID3528</t>
  </si>
  <si>
    <t>12:36:32</t>
  </si>
  <si>
    <t>19:27:45</t>
  </si>
  <si>
    <t>OID4372</t>
  </si>
  <si>
    <t>20:10:50</t>
  </si>
  <si>
    <t>09:47:21</t>
  </si>
  <si>
    <t>OID4105</t>
  </si>
  <si>
    <t>11:25:50</t>
  </si>
  <si>
    <t>16:55:06</t>
  </si>
  <si>
    <t>OID1483</t>
  </si>
  <si>
    <t>22:10:58</t>
  </si>
  <si>
    <t>03:23:21</t>
  </si>
  <si>
    <t>OID2793</t>
  </si>
  <si>
    <t>07:00:32</t>
  </si>
  <si>
    <t>18:29:21</t>
  </si>
  <si>
    <t>OID7077</t>
  </si>
  <si>
    <t>14:29:50</t>
  </si>
  <si>
    <t>07:31:36</t>
  </si>
  <si>
    <t>OID7502</t>
  </si>
  <si>
    <t>18:46:26</t>
  </si>
  <si>
    <t>01:46:33</t>
  </si>
  <si>
    <t>OID7056</t>
  </si>
  <si>
    <t>08:51:31</t>
  </si>
  <si>
    <t>18:16:33</t>
  </si>
  <si>
    <t>OID2497</t>
  </si>
  <si>
    <t>SALES</t>
  </si>
  <si>
    <t>Revnue(Sales-disc)</t>
  </si>
  <si>
    <t>TOTAL DISCOUNT</t>
  </si>
  <si>
    <t>Amount_del_charges(Final)</t>
  </si>
  <si>
    <t>Delivery_Time</t>
  </si>
  <si>
    <t>Month</t>
  </si>
  <si>
    <t>Year</t>
  </si>
  <si>
    <t>Delivery_Date</t>
  </si>
  <si>
    <t>Days to Deliver</t>
  </si>
  <si>
    <t>Delivery_Charge</t>
  </si>
  <si>
    <t>Delivery_Status</t>
  </si>
  <si>
    <t>Estimatd_Days_Deliver</t>
  </si>
  <si>
    <t>COUPON %</t>
  </si>
  <si>
    <t>Coupon_Code</t>
  </si>
  <si>
    <t>Quantity</t>
  </si>
  <si>
    <t>Price</t>
  </si>
  <si>
    <t>Product_ID</t>
  </si>
  <si>
    <t>Order_Time</t>
  </si>
  <si>
    <t>Order_Date</t>
  </si>
  <si>
    <t>Order_ID</t>
  </si>
  <si>
    <t>Address</t>
  </si>
  <si>
    <t>Email_from _domain</t>
  </si>
  <si>
    <t>Email</t>
  </si>
  <si>
    <t>City</t>
  </si>
  <si>
    <t>Gender</t>
  </si>
  <si>
    <t>Age_bin</t>
  </si>
  <si>
    <t>Age</t>
  </si>
  <si>
    <t>Last_Name</t>
  </si>
  <si>
    <t>First_Name</t>
  </si>
  <si>
    <t>Full_Name</t>
  </si>
  <si>
    <t>Customer_ID</t>
  </si>
  <si>
    <t>11) Extract email from domain and represent its count on a bar chart</t>
  </si>
  <si>
    <t>10) Represent Year and month wise total sales and total discount on a line chart</t>
  </si>
  <si>
    <t>9) Find Count of Late, Intime and BeforeTime Deliveries on a 3d pie chart</t>
  </si>
  <si>
    <t>8) Represent Month and Gender wise total Sales in a pivot table and also in a clustered bar chart</t>
  </si>
  <si>
    <t>7) Create Age Bins. And represent Age Bins wise count total Sales generated on a tree map</t>
  </si>
  <si>
    <t>6) Represent Count of all Disocunt Coupon used on a Pie Chart</t>
  </si>
  <si>
    <t>5) Represent top 5 and bottom 5 products with highest and lowest sales respectively</t>
  </si>
  <si>
    <t>4) Represent  city wise total sales amount after discount</t>
  </si>
  <si>
    <t>3) Represent city wise total orders on a Funnel Chart</t>
  </si>
  <si>
    <t>2) Represent the count of different products ordered and its percentage on a donut chart</t>
  </si>
  <si>
    <t>1) Represent top 10 customers with highest Total Sales after Discount on a bar chart</t>
  </si>
  <si>
    <t>Other Charts to be generated</t>
  </si>
  <si>
    <t>Q8) Create a new column - IsLateDelivery, and populate it with values - Late, Intime, BeforeTime based on actual difference between order_Date and Delivery_Date</t>
  </si>
  <si>
    <t>Q7) Create new columns - Fname, LName by extracting First_Name and Last_Name from the Full_Name column</t>
  </si>
  <si>
    <t>Q6) Compute final amount by using Amount_with_Del_Chrg and Discount_Percent</t>
  </si>
  <si>
    <t>where FLAT8, FLAT10, FLAT15, FLAT20 represent 8,10,15 and 20% discount on Amount, and DEL0 represents 0 delivery Charge_applied</t>
  </si>
  <si>
    <t>Q5) Create a new column Discount_Percent and use Coupon_Code to generate it</t>
  </si>
  <si>
    <t>Q4) Create a new column for Amount_with_Del_Chrg considering Delivery Charge as well</t>
  </si>
  <si>
    <t>Q3) Create a new Amount by using Price and Quantity</t>
  </si>
  <si>
    <t>Q2) Create a new column, Days to deliver and fill it with number of days it took for delivery</t>
  </si>
  <si>
    <t>d) Avg Sales(exclduing discount)</t>
  </si>
  <si>
    <t>c) Total Sales after Discount</t>
  </si>
  <si>
    <t>b) Sum Total Discount offered</t>
  </si>
  <si>
    <t>a) Sum Total Sales generated</t>
  </si>
  <si>
    <t>Sales KPI</t>
  </si>
  <si>
    <t>c) Product which generated highest revenue</t>
  </si>
  <si>
    <t>b) Most ordered product</t>
  </si>
  <si>
    <t>a) Find total unique products</t>
  </si>
  <si>
    <t>.</t>
  </si>
  <si>
    <t>Product KPIs</t>
  </si>
  <si>
    <t>d) Average Customer Age</t>
  </si>
  <si>
    <t>c) Total orders with 0 Delivery Charge</t>
  </si>
  <si>
    <t>c) Customer with highest total order amount</t>
  </si>
  <si>
    <t>b) Average Days to Deliver</t>
  </si>
  <si>
    <t>b) Customer with most orders</t>
  </si>
  <si>
    <t>a) Total Orders placed</t>
  </si>
  <si>
    <t>a) Find total unique customers</t>
  </si>
  <si>
    <t>Order and Delivery KPIs</t>
  </si>
  <si>
    <t>Customer KPIs</t>
  </si>
  <si>
    <t>1) Represent the following KPIs inside cards(boxes) in Dashboard</t>
  </si>
  <si>
    <t>Grand Total</t>
  </si>
  <si>
    <t>yahoo.com</t>
  </si>
  <si>
    <t>rediffmail.com</t>
  </si>
  <si>
    <t>outlook.com</t>
  </si>
  <si>
    <t>gmail.com</t>
  </si>
  <si>
    <t>Count of Email_from _domain</t>
  </si>
  <si>
    <t>Row Labels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</si>
  <si>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</si>
  <si>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</si>
  <si>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</si>
  <si>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</si>
  <si>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</si>
  <si>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</si>
  <si>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</si>
  <si>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</si>
  <si>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</si>
  <si>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</si>
  <si>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</si>
  <si>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</si>
  <si>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Total_SALES</t>
  </si>
  <si>
    <t>TOTAL_DISCOUNT</t>
  </si>
  <si>
    <t>Year_Month</t>
  </si>
  <si>
    <t>Sum of SALES</t>
  </si>
  <si>
    <t>Month_Gender</t>
  </si>
  <si>
    <t>0-25</t>
  </si>
  <si>
    <t>36-45</t>
  </si>
  <si>
    <t>26-35</t>
  </si>
  <si>
    <t>&gt;45</t>
  </si>
  <si>
    <t>Count of SALES</t>
  </si>
  <si>
    <t>Count of Coupon_Code</t>
  </si>
  <si>
    <t>Count_Disc_Coupon</t>
  </si>
  <si>
    <t>Low_ SALES</t>
  </si>
  <si>
    <t>bottom5 products</t>
  </si>
  <si>
    <t>High_SALES</t>
  </si>
  <si>
    <t>Top5 products</t>
  </si>
  <si>
    <t>Sum of Revnue(Sales-disc)</t>
  </si>
  <si>
    <t>Count of Order_ID</t>
  </si>
  <si>
    <t>Per_Product_ID</t>
  </si>
  <si>
    <t>Count of Product_ID</t>
  </si>
  <si>
    <t xml:space="preserve">Brendan Kelly </t>
  </si>
  <si>
    <t xml:space="preserve">John Herrera </t>
  </si>
  <si>
    <t xml:space="preserve">Katherine Weber </t>
  </si>
  <si>
    <t xml:space="preserve">Angela Evans </t>
  </si>
  <si>
    <t xml:space="preserve">Lauren Long </t>
  </si>
  <si>
    <t xml:space="preserve">Jessica Ruiz </t>
  </si>
  <si>
    <t xml:space="preserve">Mary Knight </t>
  </si>
  <si>
    <t xml:space="preserve">Mark Summers </t>
  </si>
  <si>
    <t xml:space="preserve">Lauren Crane </t>
  </si>
  <si>
    <t xml:space="preserve">Jodi Whitney </t>
  </si>
  <si>
    <t>other charts 1.</t>
  </si>
  <si>
    <t>created</t>
  </si>
  <si>
    <t>1.D</t>
  </si>
  <si>
    <t>1.C</t>
  </si>
  <si>
    <t>1.B</t>
  </si>
  <si>
    <t>1.A SALES KPI</t>
  </si>
  <si>
    <t>Sum of REVENUE/TOTAL_AMT</t>
  </si>
  <si>
    <t>Count_Order_ID</t>
  </si>
  <si>
    <t>PRODUCTS</t>
  </si>
  <si>
    <t>1.A PRODUCT KPI</t>
  </si>
  <si>
    <t>1.a order &amp; delvry KPI</t>
  </si>
  <si>
    <t>1.d</t>
  </si>
  <si>
    <t>Sum of Price</t>
  </si>
  <si>
    <t>1.c</t>
  </si>
  <si>
    <t>1.b</t>
  </si>
  <si>
    <t>1.a customer KPI</t>
  </si>
  <si>
    <t>FORMULATEXT</t>
  </si>
  <si>
    <t>SOLUTION</t>
  </si>
  <si>
    <t>ANS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</si>
</sst>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yyyy\-mm\-dd"/>
    <numFmt numFmtId="165" formatCode="0\ &quot;days&quot;"/>
    <numFmt numFmtId="166" formatCode="0&quot;days&quot;"/>
    <numFmt numFmtId="167" formatCode="0\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0" fontId="0" fillId="0" borderId="0" xfId="0" applyFill="1" applyAlignment="1"/>
    <xf numFmtId="0" fontId="1" fillId="0" borderId="0" xfId="0" applyFo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167" fontId="0" fillId="0" borderId="0" xfId="0" applyNumberFormat="1" applyAlignment="1">
      <alignment horizontal="left"/>
    </xf>
    <xf numFmtId="10" fontId="0" fillId="0" borderId="0" xfId="0" applyNumberFormat="1"/>
    <xf numFmtId="0" fontId="1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/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164" formatCode="yyyy\-mm\-dd"/>
    </dxf>
    <dxf>
      <numFmt numFmtId="165" formatCode="0\ &quot;days&quot;"/>
    </dxf>
    <dxf>
      <numFmt numFmtId="166" formatCode="0&quot;days&quot;"/>
    </dxf>
    <dxf>
      <numFmt numFmtId="165" formatCode="0\ &quot;days&quot;"/>
    </dxf>
    <dxf>
      <numFmt numFmtId="167" formatCode="0\%"/>
    </dxf>
    <dxf>
      <numFmt numFmtId="164" formatCode="yyyy\-mm\-dd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ini_Project%20ON%20EXCEL%202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y" refreshedDate="46007.490784259258" createdVersion="5" refreshedVersion="5" minRefreshableVersion="3" recordCount="500">
  <cacheSource type="worksheet">
    <worksheetSource name="Table2" r:id="rId2"/>
  </cacheSource>
  <cacheFields count="31">
    <cacheField name="Customer_ID" numFmtId="0">
      <sharedItems/>
    </cacheField>
    <cacheField name="Full_Name" numFmtId="0">
      <sharedItems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18" maxValue="70"/>
    </cacheField>
    <cacheField name="Age_bin" numFmtId="0">
      <sharedItems/>
    </cacheField>
    <cacheField name="Gender" numFmtId="0">
      <sharedItems count="3">
        <s v="Male"/>
        <s v="Female"/>
        <s v="Other"/>
      </sharedItems>
    </cacheField>
    <cacheField name="City" numFmtId="0">
      <sharedItems/>
    </cacheField>
    <cacheField name="Email" numFmtId="0">
      <sharedItems/>
    </cacheField>
    <cacheField name="Email_from _domain" numFmtId="0">
      <sharedItems count="4">
        <s v="outlook.com"/>
        <s v="rediffmail.com"/>
        <s v="gmail.com"/>
        <s v="yahoo.com"/>
      </sharedItems>
    </cacheField>
    <cacheField name="Address" numFmtId="0">
      <sharedItems/>
    </cacheField>
    <cacheField name="Order_ID" numFmtId="0">
      <sharedItems/>
    </cacheField>
    <cacheField name="Order_Date" numFmtId="164">
      <sharedItems containsSemiMixedTypes="0" containsNonDate="0" containsDate="1" containsString="0" minDate="2023-02-09T00:00:00" maxDate="2025-02-08T00:00:00"/>
    </cacheField>
    <cacheField name="Order_Time" numFmtId="0">
      <sharedItems/>
    </cacheField>
    <cacheField name="Product_ID" numFmtId="0">
      <sharedItems/>
    </cacheField>
    <cacheField name="Price" numFmtId="0">
      <sharedItems containsSemiMixedTypes="0" containsString="0" containsNumber="1" minValue="20" maxValue="496.59"/>
    </cacheField>
    <cacheField name="Quantity" numFmtId="0">
      <sharedItems containsSemiMixedTypes="0" containsString="0" containsNumber="1" containsInteger="1" minValue="1" maxValue="5"/>
    </cacheField>
    <cacheField name="Coupon_Code" numFmtId="0">
      <sharedItems/>
    </cacheField>
    <cacheField name="COUPON %" numFmtId="165">
      <sharedItems containsSemiMixedTypes="0" containsString="0" containsNumber="1" containsInteger="1" minValue="0" maxValue="20"/>
    </cacheField>
    <cacheField name="Estimatd_Days_Deliver" numFmtId="166">
      <sharedItems containsSemiMixedTypes="0" containsString="0" containsNumber="1" containsInteger="1" minValue="1" maxValue="7"/>
    </cacheField>
    <cacheField name="Delivery_Status" numFmtId="167">
      <sharedItems/>
    </cacheField>
    <cacheField name="Delivery_Charge" numFmtId="0">
      <sharedItems containsSemiMixedTypes="0" containsString="0" containsNumber="1" containsInteger="1" minValue="35" maxValue="70"/>
    </cacheField>
    <cacheField name="Days to Deliver" numFmtId="166">
      <sharedItems containsSemiMixedTypes="0" containsString="0" containsNumber="1" containsInteger="1" minValue="1" maxValue="7"/>
    </cacheField>
    <cacheField name="Delivery_Date" numFmtId="164">
      <sharedItems containsSemiMixedTypes="0" containsNonDate="0" containsDate="1" containsString="0" minDate="2023-02-13T00:00:00" maxDate="2025-02-14T00:00:00"/>
    </cacheField>
    <cacheField name="Year" numFmtId="0">
      <sharedItems containsSemiMixedTypes="0" containsString="0" containsNumber="1" containsInteger="1" minValue="2023" maxValue="2025" count="3">
        <n v="2024"/>
        <n v="2025"/>
        <n v="2023"/>
      </sharedItems>
    </cacheField>
    <cacheField name="Month" numFmtId="0">
      <sharedItems count="12">
        <s v="Mar"/>
        <s v="Feb"/>
        <s v="May"/>
        <s v="Apr"/>
        <s v="Sep"/>
        <s v="Jan"/>
        <s v="Jun"/>
        <s v="Dec"/>
        <s v="Oct"/>
        <s v="Jul"/>
        <s v="Aug"/>
        <s v="Nov"/>
      </sharedItems>
    </cacheField>
    <cacheField name="Delivery_Time" numFmtId="0">
      <sharedItems/>
    </cacheField>
    <cacheField name="Amount_del_charges(Final)" numFmtId="0">
      <sharedItems containsSemiMixedTypes="0" containsString="0" containsNumber="1" minValue="71.7" maxValue="2345.3139999999999"/>
    </cacheField>
    <cacheField name="TOTAL DISCOUNT" numFmtId="0">
      <sharedItems containsSemiMixedTypes="0" containsString="0" containsNumber="1" minValue="0" maxValue="496.59"/>
    </cacheField>
    <cacheField name="Revnue(Sales-disc)" numFmtId="0">
      <sharedItems containsSemiMixedTypes="0" containsString="0" containsNumber="1" minValue="18" maxValue="2284.3139999999999"/>
    </cacheField>
    <cacheField name="SALES" numFmtId="0">
      <sharedItems containsSemiMixedTypes="0" containsString="0" containsNumber="1" minValue="20" maxValue="2482.94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y" refreshedDate="46006.871626851855" createdVersion="5" refreshedVersion="5" minRefreshableVersion="3" recordCount="500">
  <cacheSource type="worksheet">
    <worksheetSource ref="A1:AE501" sheet="data"/>
  </cacheSource>
  <cacheFields count="28">
    <cacheField name="Customer_ID" numFmtId="0">
      <sharedItems/>
    </cacheField>
    <cacheField name="Full_Name" numFmtId="0">
      <sharedItems count="100">
        <s v="Anne Oconnell "/>
        <s v="Anthony Thomas "/>
        <s v="Karl Gallagher "/>
        <s v="Angela Horne "/>
        <s v="Christine West "/>
        <s v="David Delacruz "/>
        <s v="Marcus Valenzuela "/>
        <s v="Debra Rodriguez "/>
        <s v="Bobby Forbes "/>
        <s v="Joseph Stewart "/>
        <s v="Kara Brennan "/>
        <s v="Amy Reid "/>
        <s v="Joshua Campbell "/>
        <s v="Erin Miller "/>
        <s v="Gina Moreno "/>
        <s v="Mallory Mitchell "/>
        <s v="Traci Jones "/>
        <s v="Deborah Bates "/>
        <s v="Christian Clayton "/>
        <s v="Mark Henderson "/>
        <s v="John Herrera "/>
        <s v="Angela Evans "/>
        <s v="Ashley Rose "/>
        <s v="Taylor Davis "/>
        <s v="Lauren Long "/>
        <s v="Teresa Harvey "/>
        <s v="Heather Schneider "/>
        <s v="Valerie Carr "/>
        <s v="Jenny Estrada "/>
        <s v="Courtney Parker "/>
        <s v="Julie Meyer "/>
        <s v="Donna Oneill "/>
        <s v="Robert Castillo "/>
        <s v="Timothy Hicks "/>
        <s v="Thomas Andersen "/>
        <s v="Aaron Thompson "/>
        <s v="Jason Lopez "/>
        <s v="Alexandra Smith "/>
        <s v="John Ramirez "/>
        <s v="Amanda Howard "/>
        <s v="Mary Knight "/>
        <s v="Marcus Rogers "/>
        <s v="Brian Kennedy "/>
        <s v="Rebecca Figueroa "/>
        <s v="Lori Cook "/>
        <s v="Debra Hayes "/>
        <s v="Brittany Stewart "/>
        <s v="Mitchell Parker "/>
        <s v="Sharon Thompson "/>
        <s v="Sarah Butler "/>
        <s v="Katherine Weber "/>
        <s v="Jason Nguyen "/>
        <s v="Brandon Cruz "/>
        <s v="Jodi Whitney "/>
        <s v="Ashley Romero "/>
        <s v="William Mann "/>
        <s v="Kelli Smith "/>
        <s v="Joseph Gaines "/>
        <s v="Amy Ellis "/>
        <s v="Beth Mason "/>
        <s v="Christy Chang "/>
        <s v="Troy Gomez "/>
        <s v="Kim Blevins "/>
        <s v="Gregory Lee "/>
        <s v="Bruce Allen "/>
        <s v="Lisa Miller "/>
        <s v="Melissa Levy "/>
        <s v="Barbara Fuller "/>
        <s v="Kristina Haynes "/>
        <s v="Lindsey Byrd "/>
        <s v="Edward Black "/>
        <s v="James Brown "/>
        <s v="Leslie Montgomery "/>
        <s v="Susan Thompson "/>
        <s v="Amy Griffin "/>
        <s v="Rachael Robinson "/>
        <s v="Natasha Michael "/>
        <s v="Christine Aguilar "/>
        <s v="Mark Summers "/>
        <s v="Gary Huff "/>
        <s v="Mike Carter "/>
        <s v="Thomas Owens "/>
        <s v="Brendan Kelly "/>
        <s v="Jessica Ruiz "/>
        <s v="Hannah Gutierrez "/>
        <s v="Angela Casey "/>
        <s v="Megan Hunt "/>
        <s v="Jared Horn "/>
        <s v="Veronica Lopez "/>
        <s v="Sarah Benson "/>
        <s v="Lauren Lane "/>
        <s v="William Richmond "/>
        <s v="Lauren Crane "/>
        <s v="Katie Hicks "/>
        <s v="Regina Hawkins "/>
        <s v="Rachel Lopez "/>
        <s v="Scott Jones "/>
        <s v="Gary Jacobs "/>
        <s v="Janice Gordon "/>
        <s v="Diana French "/>
      </sharedItems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3">
        <s v="Male"/>
        <s v="Female"/>
        <s v="Other"/>
      </sharedItems>
    </cacheField>
    <cacheField name="City" numFmtId="0">
      <sharedItems count="8">
        <s v="Phoenix"/>
        <s v="Houston"/>
        <s v="New York"/>
        <s v="Los Angeles"/>
        <s v="Miami"/>
        <s v="Chicago"/>
        <s v="San Francisco"/>
        <s v="Dallas"/>
      </sharedItems>
    </cacheField>
    <cacheField name="Email" numFmtId="0">
      <sharedItems/>
    </cacheField>
    <cacheField name="Address" numFmtId="0">
      <sharedItems/>
    </cacheField>
    <cacheField name="Order_ID" numFmtId="0">
      <sharedItems count="500">
        <s v="OID2497"/>
        <s v="OID7056"/>
        <s v="OID7502"/>
        <s v="OID7077"/>
        <s v="OID2793"/>
        <s v="OID1483"/>
        <s v="OID4105"/>
        <s v="OID4372"/>
        <s v="OID3528"/>
        <s v="OID9634"/>
        <s v="OID1905"/>
        <s v="OID3136"/>
        <s v="OID6886"/>
        <s v="OID3509"/>
        <s v="OID3689"/>
        <s v="OID1911"/>
        <s v="OID6520"/>
        <s v="OID6123"/>
        <s v="OID1699"/>
        <s v="OID3792"/>
        <s v="OID7663"/>
        <s v="OID7609"/>
        <s v="OID8875"/>
        <s v="OID4032"/>
        <s v="OID9964"/>
        <s v="OID2121"/>
        <s v="OID4710"/>
        <s v="OID4295"/>
        <s v="OID2817"/>
        <s v="OID4643"/>
        <s v="OID4558"/>
        <s v="OID9577"/>
        <s v="OID5502"/>
        <s v="OID6974"/>
        <s v="OID2701"/>
        <s v="OID4432"/>
        <s v="OID3502"/>
        <s v="OID4411"/>
        <s v="OID6304"/>
        <s v="OID5126"/>
        <s v="OID8577"/>
        <s v="OID7688"/>
        <s v="OID4670"/>
        <s v="OID3319"/>
        <s v="OID6911"/>
        <s v="OID8494"/>
        <s v="OID6898"/>
        <s v="OID7606"/>
        <s v="OID6503"/>
        <s v="OID3616"/>
        <s v="OID2170"/>
        <s v="OID1956"/>
        <s v="OID8620"/>
        <s v="OID4770"/>
        <s v="OID9880"/>
        <s v="OID2152"/>
        <s v="OID2991"/>
        <s v="OID5607"/>
        <s v="OID8169"/>
        <s v="OID5832"/>
        <s v="OID7806"/>
        <s v="OID4875"/>
        <s v="OID4070"/>
        <s v="OID7679"/>
        <s v="OID3097"/>
        <s v="OID8869"/>
        <s v="OID2686"/>
        <s v="OID1046"/>
        <s v="OID8953"/>
        <s v="OID1157"/>
        <s v="OID7358"/>
        <s v="OID7453"/>
        <s v="OID1573"/>
        <s v="OID5696"/>
        <s v="OID3467"/>
        <s v="OID8542"/>
        <s v="OID1520"/>
        <s v="OID2157"/>
        <s v="OID6374"/>
        <s v="OID6555"/>
        <s v="OID5850"/>
        <s v="OID8041"/>
        <s v="OID5605"/>
        <s v="OID8388"/>
        <s v="OID5787"/>
        <s v="OID3140"/>
        <s v="OID6771"/>
        <s v="OID8988"/>
        <s v="OID9398"/>
        <s v="OID9822"/>
        <s v="OID1269"/>
        <s v="OID9915"/>
        <s v="OID3348"/>
        <s v="OID8431"/>
        <s v="OID6943"/>
        <s v="OID6229"/>
        <s v="OID6912"/>
        <s v="OID5081"/>
        <s v="OID5610"/>
        <s v="OID7759"/>
        <s v="OID4481"/>
        <s v="OID6749"/>
        <s v="OID8681"/>
        <s v="OID9693"/>
        <s v="OID3607"/>
        <s v="OID9743"/>
        <s v="OID7866"/>
        <s v="OID1137"/>
        <s v="OID4685"/>
        <s v="OID9584"/>
        <s v="OID1686"/>
        <s v="OID5272"/>
        <s v="OID7359"/>
        <s v="OID3570"/>
        <s v="OID2519"/>
        <s v="OID1134"/>
        <s v="OID8270"/>
        <s v="OID9515"/>
        <s v="OID6608"/>
        <s v="OID3035"/>
        <s v="OID4548"/>
        <s v="OID5978"/>
        <s v="OID6297"/>
        <s v="OID5108"/>
        <s v="OID4599"/>
        <s v="OID1418"/>
        <s v="OID1411"/>
        <s v="OID8692"/>
        <s v="OID4402"/>
        <s v="OID1309"/>
        <s v="OID2746"/>
        <s v="OID9360"/>
        <s v="OID6453"/>
        <s v="OID9745"/>
        <s v="OID4081"/>
        <s v="OID3967"/>
        <s v="OID9112"/>
        <s v="OID8628"/>
        <s v="OID5996"/>
        <s v="OID5210"/>
        <s v="OID4415"/>
        <s v="OID6716"/>
        <s v="OID9804"/>
        <s v="OID9798"/>
        <s v="OID4965"/>
        <s v="OID3209"/>
        <s v="OID6103"/>
        <s v="OID4368"/>
        <s v="OID1692"/>
        <s v="OID9808"/>
        <s v="OID3568"/>
        <s v="OID3469"/>
        <s v="OID6217"/>
        <s v="OID9257"/>
        <s v="OID7258"/>
        <s v="OID8380"/>
        <s v="OID9224"/>
        <s v="OID4506"/>
        <s v="OID7689"/>
        <s v="OID8699"/>
        <s v="OID1317"/>
        <s v="OID2429"/>
        <s v="OID4514"/>
        <s v="OID6237"/>
        <s v="OID6752"/>
        <s v="OID7059"/>
        <s v="OID6264"/>
        <s v="OID5366"/>
        <s v="OID1663"/>
        <s v="OID7664"/>
        <s v="OID4364"/>
        <s v="OID1153"/>
        <s v="OID5700"/>
        <s v="OID1706"/>
        <s v="OID6420"/>
        <s v="OID2659"/>
        <s v="OID5326"/>
        <s v="OID4465"/>
        <s v="OID9324"/>
        <s v="OID9267"/>
        <s v="OID5402"/>
        <s v="OID8716"/>
        <s v="OID4014"/>
        <s v="OID8569"/>
        <s v="OID6330"/>
        <s v="OID6607"/>
        <s v="OID4892"/>
        <s v="OID9692"/>
        <s v="OID4746"/>
        <s v="OID6057"/>
        <s v="OID3134"/>
        <s v="OID7980"/>
        <s v="OID7432"/>
        <s v="OID9465"/>
        <s v="OID9872"/>
        <s v="OID6856"/>
        <s v="OID1826"/>
        <s v="OID3421"/>
        <s v="OID6869"/>
        <s v="OID6635"/>
        <s v="OID8295"/>
        <s v="OID4642"/>
        <s v="OID7380"/>
        <s v="OID1086"/>
        <s v="OID6936"/>
        <s v="OID2938"/>
        <s v="OID8074"/>
        <s v="OID1076"/>
        <s v="OID8347"/>
        <s v="OID6373"/>
        <s v="OID5913"/>
        <s v="OID2941"/>
        <s v="OID9627"/>
        <s v="OID9705"/>
        <s v="OID7486"/>
        <s v="OID4560"/>
        <s v="OID1379"/>
        <s v="OID8114"/>
        <s v="OID9805"/>
        <s v="OID7003"/>
        <s v="OID5372"/>
        <s v="OID4097"/>
        <s v="OID7090"/>
        <s v="OID8741"/>
        <s v="OID6002"/>
        <s v="OID8585"/>
        <s v="OID6767"/>
        <s v="OID4369"/>
        <s v="OID5283"/>
        <s v="OID2949"/>
        <s v="OID1071"/>
        <s v="OID7412"/>
        <s v="OID6541"/>
        <s v="OID3550"/>
        <s v="OID7812"/>
        <s v="OID4101"/>
        <s v="OID2704"/>
        <s v="OID3902"/>
        <s v="OID6097"/>
        <s v="OID2270"/>
        <s v="OID4575"/>
        <s v="OID2338"/>
        <s v="OID9816"/>
        <s v="OID1586"/>
        <s v="OID9630"/>
        <s v="OID8034"/>
        <s v="OID4815"/>
        <s v="OID1898"/>
        <s v="OID7454"/>
        <s v="OID2597"/>
        <s v="OID6600"/>
        <s v="OID3490"/>
        <s v="OID5561"/>
        <s v="OID8830"/>
        <s v="OID9527"/>
        <s v="OID1067"/>
        <s v="OID2119"/>
        <s v="OID5802"/>
        <s v="OID4569"/>
        <s v="OID1508"/>
        <s v="OID3969"/>
        <s v="OID8974"/>
        <s v="OID6987"/>
        <s v="OID5834"/>
        <s v="OID3980"/>
        <s v="OID9700"/>
        <s v="OID1135"/>
        <s v="OID9451"/>
        <s v="OID4659"/>
        <s v="OID7205"/>
        <s v="OID9735"/>
        <s v="OID3358"/>
        <s v="OID4719"/>
        <s v="OID8203"/>
        <s v="OID2353"/>
        <s v="OID5255"/>
        <s v="OID7946"/>
        <s v="OID1159"/>
        <s v="OID5186"/>
        <s v="OID7156"/>
        <s v="OID3574"/>
        <s v="OID1477"/>
        <s v="OID2944"/>
        <s v="OID5130"/>
        <s v="OID7754"/>
        <s v="OID1246"/>
        <s v="OID8680"/>
        <s v="OID7102"/>
        <s v="OID7555"/>
        <s v="OID3165"/>
        <s v="OID9628"/>
        <s v="OID9782"/>
        <s v="OID7302"/>
        <s v="OID4580"/>
        <s v="OID7954"/>
        <s v="OID6246"/>
        <s v="OID5671"/>
        <s v="OID3145"/>
        <s v="OID8575"/>
        <s v="OID7910"/>
        <s v="OID1179"/>
        <s v="OID1041"/>
        <s v="OID1693"/>
        <s v="OID8609"/>
        <s v="OID9578"/>
        <s v="OID5985"/>
        <s v="OID2571"/>
        <s v="OID6045"/>
        <s v="OID1336"/>
        <s v="OID7117"/>
        <s v="OID3749"/>
        <s v="OID7008"/>
        <s v="OID8913"/>
        <s v="OID1597"/>
        <s v="OID4412"/>
        <s v="OID3900"/>
        <s v="OID9756"/>
        <s v="OID8307"/>
        <s v="OID5575"/>
        <s v="OID5883"/>
        <s v="OID6340"/>
        <s v="OID2501"/>
        <s v="OID6973"/>
        <s v="OID6597"/>
        <s v="OID4840"/>
        <s v="OID5389"/>
        <s v="OID8649"/>
        <s v="OID2779"/>
        <s v="OID4185"/>
        <s v="OID1243"/>
        <s v="OID4147"/>
        <s v="OID3681"/>
        <s v="OID5229"/>
        <s v="OID9990"/>
        <s v="OID1756"/>
        <s v="OID1866"/>
        <s v="OID2619"/>
        <s v="OID2505"/>
        <s v="OID7850"/>
        <s v="OID1966"/>
        <s v="OID3837"/>
        <s v="OID9187"/>
        <s v="OID3760"/>
        <s v="OID7065"/>
        <s v="OID6906"/>
        <s v="OID7996"/>
        <s v="OID9247"/>
        <s v="OID7303"/>
        <s v="OID2173"/>
        <s v="OID5367"/>
        <s v="OID9748"/>
        <s v="OID6469"/>
        <s v="OID1013"/>
        <s v="OID1219"/>
        <s v="OID9988"/>
        <s v="OID1669"/>
        <s v="OID7329"/>
        <s v="OID2873"/>
        <s v="OID4932"/>
        <s v="OID4169"/>
        <s v="OID6945"/>
        <s v="OID6794"/>
        <s v="OID2412"/>
        <s v="OID8162"/>
        <s v="OID8860"/>
        <s v="OID2523"/>
        <s v="OID7382"/>
        <s v="OID7593"/>
        <s v="OID9980"/>
        <s v="OID2440"/>
        <s v="OID7256"/>
        <s v="OID6854"/>
        <s v="OID9600"/>
        <s v="OID3186"/>
        <s v="OID1420"/>
        <s v="OID4436"/>
        <s v="OID6410"/>
        <s v="OID4538"/>
        <s v="OID8225"/>
        <s v="OID2099"/>
        <s v="OID9222"/>
        <s v="OID3523"/>
        <s v="OID3834"/>
        <s v="OID9975"/>
        <s v="OID6893"/>
        <s v="OID8192"/>
        <s v="OID7904"/>
        <s v="OID5999"/>
        <s v="OID7409"/>
        <s v="OID8708"/>
        <s v="OID5745"/>
        <s v="OID9178"/>
        <s v="OID2529"/>
        <s v="OID3125"/>
        <s v="OID4011"/>
        <s v="OID1592"/>
        <s v="OID7667"/>
        <s v="OID5182"/>
        <s v="OID1833"/>
        <s v="OID5190"/>
        <s v="OID4399"/>
        <s v="OID8104"/>
        <s v="OID1054"/>
        <s v="OID7828"/>
        <s v="OID5598"/>
        <s v="OID7417"/>
        <s v="OID8004"/>
        <s v="OID7287"/>
        <s v="OID3637"/>
        <s v="OID2097"/>
        <s v="OID3388"/>
        <s v="OID1114"/>
        <s v="OID3556"/>
        <s v="OID9404"/>
        <s v="OID4552"/>
        <s v="OID8486"/>
        <s v="OID4240"/>
        <s v="OID3727"/>
        <s v="OID8955"/>
        <s v="OID1744"/>
        <s v="OID5831"/>
        <s v="OID2842"/>
        <s v="OID1661"/>
        <s v="OID9123"/>
        <s v="OID3981"/>
        <s v="OID6634"/>
        <s v="OID9069"/>
        <s v="OID6802"/>
        <s v="OID4442"/>
        <s v="OID4995"/>
        <s v="OID7650"/>
        <s v="OID5555"/>
        <s v="OID1769"/>
        <s v="OID2189"/>
        <s v="OID9035"/>
        <s v="OID4219"/>
        <s v="OID1694"/>
        <s v="OID7495"/>
        <s v="OID1080"/>
        <s v="OID4539"/>
        <s v="OID8093"/>
        <s v="OID1707"/>
        <s v="OID5703"/>
        <s v="OID7457"/>
        <s v="OID4784"/>
        <s v="OID1726"/>
        <s v="OID1073"/>
        <s v="OID7443"/>
        <s v="OID1025"/>
        <s v="OID8826"/>
        <s v="OID6254"/>
        <s v="OID7518"/>
        <s v="OID4491"/>
        <s v="OID8288"/>
        <s v="OID6504"/>
        <s v="OID2595"/>
        <s v="OID9478"/>
        <s v="OID1169"/>
        <s v="OID6775"/>
        <s v="OID2383"/>
        <s v="OID3750"/>
        <s v="OID4837"/>
        <s v="OID6975"/>
        <s v="OID1869"/>
        <s v="OID3921"/>
        <s v="OID4056"/>
        <s v="OID4907"/>
        <s v="OID9684"/>
        <s v="OID2044"/>
        <s v="OID6436"/>
        <s v="OID9374"/>
        <s v="OID2767"/>
        <s v="OID8981"/>
        <s v="OID2246"/>
        <s v="OID1779"/>
        <s v="OID2005"/>
        <s v="OID6485"/>
        <s v="OID6319"/>
        <s v="OID9461"/>
        <s v="OID4522"/>
        <s v="OID9862"/>
        <s v="OID6361"/>
        <s v="OID7238"/>
        <s v="OID8446"/>
        <s v="OID9459"/>
        <s v="OID6433"/>
        <s v="OID3128"/>
        <s v="OID8972"/>
        <s v="OID5970"/>
        <s v="OID3491"/>
        <s v="OID6651"/>
        <s v="OID2861"/>
        <s v="OID3302"/>
        <s v="OID9922"/>
        <s v="OID4613"/>
        <s v="OID7483"/>
        <s v="OID7418"/>
        <s v="OID3361"/>
        <s v="OID7475"/>
        <s v="OID6847"/>
      </sharedItems>
    </cacheField>
    <cacheField name="Order_Date" numFmtId="164">
      <sharedItems containsSemiMixedTypes="0" containsNonDate="0" containsDate="1" containsString="0" minDate="2023-02-09T00:00:00" maxDate="2025-02-08T00:00:00"/>
    </cacheField>
    <cacheField name="Order_Time" numFmtId="0">
      <sharedItems/>
    </cacheField>
    <cacheField name="Product_ID" numFmtId="0">
      <sharedItems count="50">
        <s v="PID022"/>
        <s v="PID015"/>
        <s v="PID023"/>
        <s v="PID031"/>
        <s v="PID043"/>
        <s v="PID046"/>
        <s v="PID034"/>
        <s v="PID033"/>
        <s v="PID007"/>
        <s v="PID042"/>
        <s v="PID047"/>
        <s v="PID039"/>
        <s v="PID014"/>
        <s v="PID024"/>
        <s v="PID003"/>
        <s v="PID008"/>
        <s v="PID012"/>
        <s v="PID028"/>
        <s v="PID030"/>
        <s v="PID026"/>
        <s v="PID018"/>
        <s v="PID036"/>
        <s v="PID050"/>
        <s v="PID021"/>
        <s v="PID027"/>
        <s v="PID037"/>
        <s v="PID041"/>
        <s v="PID004"/>
        <s v="PID020"/>
        <s v="PID010"/>
        <s v="PID001"/>
        <s v="PID019"/>
        <s v="PID009"/>
        <s v="PID038"/>
        <s v="PID048"/>
        <s v="PID049"/>
        <s v="PID017"/>
        <s v="PID016"/>
        <s v="PID006"/>
        <s v="PID025"/>
        <s v="PID005"/>
        <s v="PID035"/>
        <s v="PID013"/>
        <s v="PID032"/>
        <s v="PID040"/>
        <s v="PID029"/>
        <s v="PID044"/>
        <s v="PID011"/>
        <s v="PID002"/>
        <s v="PID045"/>
      </sharedItems>
    </cacheField>
    <cacheField name="Price" numFmtId="0">
      <sharedItems containsSemiMixedTypes="0" containsString="0" containsNumber="1" minValue="20" maxValue="496.59"/>
    </cacheField>
    <cacheField name="Quantity" numFmtId="0">
      <sharedItems containsSemiMixedTypes="0" containsString="0" containsNumber="1" containsInteger="1" minValue="1" maxValue="5"/>
    </cacheField>
    <cacheField name="Coupon_Code" numFmtId="0">
      <sharedItems count="5">
        <s v="FLAT8"/>
        <s v="FLAT15"/>
        <s v="DEL0"/>
        <s v="FLAT20"/>
        <s v="FLAT10"/>
      </sharedItems>
    </cacheField>
    <cacheField name="COUPON %" numFmtId="165">
      <sharedItems containsSemiMixedTypes="0" containsString="0" containsNumber="1" containsInteger="1" minValue="0" maxValue="20" count="5">
        <n v="8"/>
        <n v="15"/>
        <n v="0"/>
        <n v="20"/>
        <n v="10"/>
      </sharedItems>
    </cacheField>
    <cacheField name="Estimatd_Days_Deliver" numFmtId="166">
      <sharedItems containsSemiMixedTypes="0" containsString="0" containsNumber="1" containsInteger="1" minValue="1" maxValue="7"/>
    </cacheField>
    <cacheField name="Delivery_Status" numFmtId="167">
      <sharedItems/>
    </cacheField>
    <cacheField name="Delivery_Charge" numFmtId="0">
      <sharedItems containsSemiMixedTypes="0" containsString="0" containsNumber="1" containsInteger="1" minValue="35" maxValue="70"/>
    </cacheField>
    <cacheField name="Days to Deliver" numFmtId="166">
      <sharedItems containsSemiMixedTypes="0" containsString="0" containsNumber="1" containsInteger="1" minValue="1" maxValue="7"/>
    </cacheField>
    <cacheField name="Delivery_Date" numFmtId="164">
      <sharedItems containsSemiMixedTypes="0" containsNonDate="0" containsDate="1" containsString="0" minDate="2023-02-13T00:00:00" maxDate="2025-02-14T00:00:00"/>
    </cacheField>
    <cacheField name="Delivery_Time" numFmtId="0">
      <sharedItems/>
    </cacheField>
    <cacheField name="Final Amount" numFmtId="0">
      <sharedItems containsNonDate="0" containsString="0" containsBlank="1"/>
    </cacheField>
    <cacheField name="Amount_del_charges(Final)" numFmtId="0">
      <sharedItems containsSemiMixedTypes="0" containsString="0" containsNumber="1" minValue="71.7" maxValue="2345.3139999999999"/>
    </cacheField>
    <cacheField name="TOTAL DISCOUNT" numFmtId="0">
      <sharedItems containsSemiMixedTypes="0" containsString="0" containsNumber="1" minValue="0" maxValue="496.59"/>
    </cacheField>
    <cacheField name="Revnue(Sales-disc)" numFmtId="0">
      <sharedItems containsSemiMixedTypes="0" containsString="0" containsNumber="1" minValue="18" maxValue="2284.3139999999999"/>
    </cacheField>
    <cacheField name="SALES" numFmtId="0">
      <sharedItems containsSemiMixedTypes="0" containsString="0" containsNumber="1" minValue="20" maxValue="2482.94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invalid="1" refreshedBy="My" refreshedDate="46006.937709027778" createdVersion="5" refreshedVersion="5" minRefreshableVersion="3" recordCount="500">
  <cacheSource type="worksheet">
    <worksheetSource ref="D1:AE501" sheet="data"/>
  </cacheSource>
  <cacheFields count="26">
    <cacheField name="Last_Name" numFmtId="0">
      <sharedItems/>
    </cacheField>
    <cacheField name="Age" numFmtId="0">
      <sharedItems containsSemiMixedTypes="0" containsString="0" containsNumber="1" containsInteger="1" minValue="18" maxValue="70"/>
    </cacheField>
    <cacheField name="Age_bin" numFmtId="0">
      <sharedItems count="4">
        <s v="36-45"/>
        <s v="&gt;45"/>
        <s v="26-35"/>
        <s v="0-25"/>
      </sharedItems>
    </cacheField>
    <cacheField name="Gender" numFmtId="0">
      <sharedItems count="3">
        <s v="Male"/>
        <s v="Female"/>
        <s v="Other"/>
      </sharedItems>
    </cacheField>
    <cacheField name="City" numFmtId="0">
      <sharedItems/>
    </cacheField>
    <cacheField name="Email" numFmtId="0">
      <sharedItems/>
    </cacheField>
    <cacheField name="Address" numFmtId="0">
      <sharedItems/>
    </cacheField>
    <cacheField name="Order_ID" numFmtId="0">
      <sharedItems/>
    </cacheField>
    <cacheField name="Order_Date" numFmtId="164">
      <sharedItems containsSemiMixedTypes="0" containsNonDate="0" containsDate="1" containsString="0" minDate="2023-02-09T00:00:00" maxDate="2025-02-08T00:00:00"/>
    </cacheField>
    <cacheField name="Order_Time" numFmtId="0">
      <sharedItems/>
    </cacheField>
    <cacheField name="Product_ID" numFmtId="0">
      <sharedItems/>
    </cacheField>
    <cacheField name="Price" numFmtId="0">
      <sharedItems containsSemiMixedTypes="0" containsString="0" containsNumber="1" minValue="20" maxValue="496.59"/>
    </cacheField>
    <cacheField name="Quantity" numFmtId="0">
      <sharedItems containsSemiMixedTypes="0" containsString="0" containsNumber="1" containsInteger="1" minValue="1" maxValue="5"/>
    </cacheField>
    <cacheField name="Coupon_Code" numFmtId="0">
      <sharedItems/>
    </cacheField>
    <cacheField name="COUPON %" numFmtId="165">
      <sharedItems containsSemiMixedTypes="0" containsString="0" containsNumber="1" containsInteger="1" minValue="0" maxValue="20"/>
    </cacheField>
    <cacheField name="Estimatd_Days_Deliver" numFmtId="166">
      <sharedItems containsSemiMixedTypes="0" containsString="0" containsNumber="1" containsInteger="1" minValue="1" maxValue="7"/>
    </cacheField>
    <cacheField name="Delivery_Status" numFmtId="167">
      <sharedItems/>
    </cacheField>
    <cacheField name="Delivery_Charge" numFmtId="0">
      <sharedItems containsSemiMixedTypes="0" containsString="0" containsNumber="1" containsInteger="1" minValue="35" maxValue="70"/>
    </cacheField>
    <cacheField name="Days to Deliver" numFmtId="166">
      <sharedItems containsSemiMixedTypes="0" containsString="0" containsNumber="1" containsInteger="1" minValue="1" maxValue="7"/>
    </cacheField>
    <cacheField name="Delivery_Date" numFmtId="164">
      <sharedItems containsSemiMixedTypes="0" containsNonDate="0" containsDate="1" containsString="0" minDate="2023-02-13T00:00:00" maxDate="2025-02-14T00:00:00"/>
    </cacheField>
    <cacheField name="Delivery_Time" numFmtId="0">
      <sharedItems/>
    </cacheField>
    <cacheField name="Final Amount" numFmtId="0">
      <sharedItems containsNonDate="0" containsString="0" containsBlank="1"/>
    </cacheField>
    <cacheField name="Amount_del_charges(Final)" numFmtId="0">
      <sharedItems containsSemiMixedTypes="0" containsString="0" containsNumber="1" minValue="71.7" maxValue="2345.3139999999999"/>
    </cacheField>
    <cacheField name="TOTAL DISCOUNT" numFmtId="0">
      <sharedItems containsSemiMixedTypes="0" containsString="0" containsNumber="1" minValue="0" maxValue="496.59"/>
    </cacheField>
    <cacheField name="Revnue(Sales-disc)" numFmtId="0">
      <sharedItems containsSemiMixedTypes="0" containsString="0" containsNumber="1" minValue="18" maxValue="2284.3139999999999"/>
    </cacheField>
    <cacheField name="SALES" numFmtId="0">
      <sharedItems containsSemiMixedTypes="0" containsString="0" containsNumber="1" minValue="20" maxValue="2482.94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invalid="1" refreshedBy="My" refreshedDate="46006.556292939815" createdVersion="5" refreshedVersion="5" minRefreshableVersion="3" recordCount="500">
  <cacheSource type="worksheet">
    <worksheetSource ref="A1:AD501" sheet="data"/>
  </cacheSource>
  <cacheFields count="21">
    <cacheField name="Customer_ID" numFmtId="0">
      <sharedItems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City" numFmtId="0">
      <sharedItems/>
    </cacheField>
    <cacheField name="Email" numFmtId="0">
      <sharedItems/>
    </cacheField>
    <cacheField name="Address" numFmtId="0">
      <sharedItems/>
    </cacheField>
    <cacheField name="Order_ID" numFmtId="0">
      <sharedItems/>
    </cacheField>
    <cacheField name="Order_Date" numFmtId="164">
      <sharedItems containsSemiMixedTypes="0" containsNonDate="0" containsDate="1" containsString="0" minDate="2023-02-09T00:00:00" maxDate="2025-02-08T00:00:00"/>
    </cacheField>
    <cacheField name="Order_Time" numFmtId="0">
      <sharedItems/>
    </cacheField>
    <cacheField name="Product_ID" numFmtId="0">
      <sharedItems count="50">
        <s v="PID022"/>
        <s v="PID015"/>
        <s v="PID023"/>
        <s v="PID031"/>
        <s v="PID043"/>
        <s v="PID046"/>
        <s v="PID034"/>
        <s v="PID033"/>
        <s v="PID007"/>
        <s v="PID042"/>
        <s v="PID047"/>
        <s v="PID039"/>
        <s v="PID014"/>
        <s v="PID024"/>
        <s v="PID003"/>
        <s v="PID008"/>
        <s v="PID012"/>
        <s v="PID028"/>
        <s v="PID030"/>
        <s v="PID026"/>
        <s v="PID018"/>
        <s v="PID036"/>
        <s v="PID050"/>
        <s v="PID021"/>
        <s v="PID027"/>
        <s v="PID037"/>
        <s v="PID041"/>
        <s v="PID004"/>
        <s v="PID020"/>
        <s v="PID010"/>
        <s v="PID001"/>
        <s v="PID019"/>
        <s v="PID009"/>
        <s v="PID038"/>
        <s v="PID048"/>
        <s v="PID049"/>
        <s v="PID017"/>
        <s v="PID016"/>
        <s v="PID006"/>
        <s v="PID025"/>
        <s v="PID005"/>
        <s v="PID035"/>
        <s v="PID013"/>
        <s v="PID032"/>
        <s v="PID040"/>
        <s v="PID029"/>
        <s v="PID044"/>
        <s v="PID011"/>
        <s v="PID002"/>
        <s v="PID045"/>
      </sharedItems>
    </cacheField>
    <cacheField name="Price" numFmtId="0">
      <sharedItems containsSemiMixedTypes="0" containsString="0" containsNumber="1" minValue="20" maxValue="496.59"/>
    </cacheField>
    <cacheField name="Quantity" numFmtId="0">
      <sharedItems containsSemiMixedTypes="0" containsString="0" containsNumber="1" containsInteger="1" minValue="1" maxValue="5"/>
    </cacheField>
    <cacheField name="Coupon_Code" numFmtId="0">
      <sharedItems/>
    </cacheField>
    <cacheField name="COUPON %" numFmtId="165">
      <sharedItems containsSemiMixedTypes="0" containsString="0" containsNumber="1" containsInteger="1" minValue="0" maxValue="20"/>
    </cacheField>
    <cacheField name="Estimated_Days_to_Deliver" numFmtId="0">
      <sharedItems containsSemiMixedTypes="0" containsString="0" containsNumber="1" containsInteger="1" minValue="1" maxValue="7"/>
    </cacheField>
    <cacheField name="Delivery_Charge" numFmtId="0">
      <sharedItems containsSemiMixedTypes="0" containsString="0" containsNumber="1" containsInteger="1" minValue="35" maxValue="70"/>
    </cacheField>
    <cacheField name="Delivery_Date" numFmtId="164">
      <sharedItems containsSemiMixedTypes="0" containsNonDate="0" containsDate="1" containsString="0" minDate="2023-02-13T00:00:00" maxDate="2025-02-14T00:00:00"/>
    </cacheField>
    <cacheField name="Delivery_Time" numFmtId="0">
      <sharedItems/>
    </cacheField>
    <cacheField name="REVENUE/TOTAL_AMT" numFmtId="0">
      <sharedItems containsSemiMixedTypes="0" containsString="0" containsNumber="1" minValue="18" maxValue="2284.313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invalid="1" refreshedBy="My" refreshedDate="46005.943795254629" createdVersion="5" refreshedVersion="5" minRefreshableVersion="3" recordCount="500">
  <cacheSource type="worksheet">
    <worksheetSource ref="A1:AA501" sheet="data"/>
  </cacheSource>
  <cacheFields count="19">
    <cacheField name="Customer_ID" numFmtId="0">
      <sharedItems count="100">
        <s v="CID186"/>
        <s v="CID150"/>
        <s v="CID115"/>
        <s v="CID149"/>
        <s v="CID159"/>
        <s v="CID198"/>
        <s v="CID152"/>
        <s v="CID130"/>
        <s v="CID101"/>
        <s v="CID105"/>
        <s v="CID172"/>
        <s v="CID178"/>
        <s v="CID176"/>
        <s v="CID148"/>
        <s v="CID137"/>
        <s v="CID147"/>
        <s v="CID128"/>
        <s v="CID168"/>
        <s v="CID179"/>
        <s v="CID163"/>
        <s v="CID182"/>
        <s v="CID158"/>
        <s v="CID193"/>
        <s v="CID166"/>
        <s v="CID191"/>
        <s v="CID108"/>
        <s v="CID161"/>
        <s v="CID190"/>
        <s v="CID120"/>
        <s v="CID155"/>
        <s v="CID121"/>
        <s v="CID133"/>
        <s v="CID169"/>
        <s v="CID132"/>
        <s v="CID180"/>
        <s v="CID184"/>
        <s v="CID187"/>
        <s v="CID181"/>
        <s v="CID116"/>
        <s v="CID135"/>
        <s v="CID165"/>
        <s v="CID126"/>
        <s v="CID111"/>
        <s v="CID129"/>
        <s v="CID199"/>
        <s v="CID134"/>
        <s v="CID136"/>
        <s v="CID153"/>
        <s v="CID100"/>
        <s v="CID195"/>
        <s v="CID175"/>
        <s v="CID103"/>
        <s v="CID192"/>
        <s v="CID174"/>
        <s v="CID145"/>
        <s v="CID144"/>
        <s v="CID125"/>
        <s v="CID139"/>
        <s v="CID118"/>
        <s v="CID140"/>
        <s v="CID123"/>
        <s v="CID183"/>
        <s v="CID143"/>
        <s v="CID156"/>
        <s v="CID170"/>
        <s v="CID107"/>
        <s v="CID185"/>
        <s v="CID194"/>
        <s v="CID188"/>
        <s v="CID112"/>
        <s v="CID124"/>
        <s v="CID160"/>
        <s v="CID171"/>
        <s v="CID173"/>
        <s v="CID119"/>
        <s v="CID109"/>
        <s v="CID127"/>
        <s v="CID189"/>
        <s v="CID162"/>
        <s v="CID104"/>
        <s v="CID138"/>
        <s v="CID142"/>
        <s v="CID113"/>
        <s v="CID102"/>
        <s v="CID117"/>
        <s v="CID154"/>
        <s v="CID141"/>
        <s v="CID122"/>
        <s v="CID131"/>
        <s v="CID157"/>
        <s v="CID164"/>
        <s v="CID151"/>
        <s v="CID114"/>
        <s v="CID110"/>
        <s v="CID196"/>
        <s v="CID177"/>
        <s v="CID106"/>
        <s v="CID197"/>
        <s v="CID146"/>
        <s v="CID167"/>
      </sharedItems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City" numFmtId="0">
      <sharedItems/>
    </cacheField>
    <cacheField name="Email" numFmtId="0">
      <sharedItems/>
    </cacheField>
    <cacheField name="Address" numFmtId="0">
      <sharedItems/>
    </cacheField>
    <cacheField name="Order_ID" numFmtId="0">
      <sharedItems count="500">
        <s v="OID2497"/>
        <s v="OID7056"/>
        <s v="OID7502"/>
        <s v="OID7077"/>
        <s v="OID2793"/>
        <s v="OID1483"/>
        <s v="OID4105"/>
        <s v="OID4372"/>
        <s v="OID3528"/>
        <s v="OID9634"/>
        <s v="OID1905"/>
        <s v="OID3136"/>
        <s v="OID6886"/>
        <s v="OID3509"/>
        <s v="OID3689"/>
        <s v="OID1911"/>
        <s v="OID6520"/>
        <s v="OID6123"/>
        <s v="OID1699"/>
        <s v="OID3792"/>
        <s v="OID7663"/>
        <s v="OID7609"/>
        <s v="OID8875"/>
        <s v="OID4032"/>
        <s v="OID9964"/>
        <s v="OID2121"/>
        <s v="OID4710"/>
        <s v="OID4295"/>
        <s v="OID2817"/>
        <s v="OID4643"/>
        <s v="OID4558"/>
        <s v="OID9577"/>
        <s v="OID5502"/>
        <s v="OID6974"/>
        <s v="OID2701"/>
        <s v="OID4432"/>
        <s v="OID3502"/>
        <s v="OID4411"/>
        <s v="OID6304"/>
        <s v="OID5126"/>
        <s v="OID8577"/>
        <s v="OID7688"/>
        <s v="OID4670"/>
        <s v="OID3319"/>
        <s v="OID6911"/>
        <s v="OID8494"/>
        <s v="OID6898"/>
        <s v="OID7606"/>
        <s v="OID6503"/>
        <s v="OID3616"/>
        <s v="OID2170"/>
        <s v="OID1956"/>
        <s v="OID8620"/>
        <s v="OID4770"/>
        <s v="OID9880"/>
        <s v="OID2152"/>
        <s v="OID2991"/>
        <s v="OID5607"/>
        <s v="OID8169"/>
        <s v="OID5832"/>
        <s v="OID7806"/>
        <s v="OID4875"/>
        <s v="OID4070"/>
        <s v="OID7679"/>
        <s v="OID3097"/>
        <s v="OID8869"/>
        <s v="OID2686"/>
        <s v="OID1046"/>
        <s v="OID8953"/>
        <s v="OID1157"/>
        <s v="OID7358"/>
        <s v="OID7453"/>
        <s v="OID1573"/>
        <s v="OID5696"/>
        <s v="OID3467"/>
        <s v="OID8542"/>
        <s v="OID1520"/>
        <s v="OID2157"/>
        <s v="OID6374"/>
        <s v="OID6555"/>
        <s v="OID5850"/>
        <s v="OID8041"/>
        <s v="OID5605"/>
        <s v="OID8388"/>
        <s v="OID5787"/>
        <s v="OID3140"/>
        <s v="OID6771"/>
        <s v="OID8988"/>
        <s v="OID9398"/>
        <s v="OID9822"/>
        <s v="OID1269"/>
        <s v="OID9915"/>
        <s v="OID3348"/>
        <s v="OID8431"/>
        <s v="OID6943"/>
        <s v="OID6229"/>
        <s v="OID6912"/>
        <s v="OID5081"/>
        <s v="OID5610"/>
        <s v="OID7759"/>
        <s v="OID4481"/>
        <s v="OID6749"/>
        <s v="OID8681"/>
        <s v="OID9693"/>
        <s v="OID3607"/>
        <s v="OID9743"/>
        <s v="OID7866"/>
        <s v="OID1137"/>
        <s v="OID4685"/>
        <s v="OID9584"/>
        <s v="OID1686"/>
        <s v="OID5272"/>
        <s v="OID7359"/>
        <s v="OID3570"/>
        <s v="OID2519"/>
        <s v="OID1134"/>
        <s v="OID8270"/>
        <s v="OID9515"/>
        <s v="OID6608"/>
        <s v="OID3035"/>
        <s v="OID4548"/>
        <s v="OID5978"/>
        <s v="OID6297"/>
        <s v="OID5108"/>
        <s v="OID4599"/>
        <s v="OID1418"/>
        <s v="OID1411"/>
        <s v="OID8692"/>
        <s v="OID4402"/>
        <s v="OID1309"/>
        <s v="OID2746"/>
        <s v="OID9360"/>
        <s v="OID6453"/>
        <s v="OID9745"/>
        <s v="OID4081"/>
        <s v="OID3967"/>
        <s v="OID9112"/>
        <s v="OID8628"/>
        <s v="OID5996"/>
        <s v="OID5210"/>
        <s v="OID4415"/>
        <s v="OID6716"/>
        <s v="OID9804"/>
        <s v="OID9798"/>
        <s v="OID4965"/>
        <s v="OID3209"/>
        <s v="OID6103"/>
        <s v="OID4368"/>
        <s v="OID1692"/>
        <s v="OID9808"/>
        <s v="OID3568"/>
        <s v="OID3469"/>
        <s v="OID6217"/>
        <s v="OID9257"/>
        <s v="OID7258"/>
        <s v="OID8380"/>
        <s v="OID9224"/>
        <s v="OID4506"/>
        <s v="OID7689"/>
        <s v="OID8699"/>
        <s v="OID1317"/>
        <s v="OID2429"/>
        <s v="OID4514"/>
        <s v="OID6237"/>
        <s v="OID6752"/>
        <s v="OID7059"/>
        <s v="OID6264"/>
        <s v="OID5366"/>
        <s v="OID1663"/>
        <s v="OID7664"/>
        <s v="OID4364"/>
        <s v="OID1153"/>
        <s v="OID5700"/>
        <s v="OID1706"/>
        <s v="OID6420"/>
        <s v="OID2659"/>
        <s v="OID5326"/>
        <s v="OID4465"/>
        <s v="OID9324"/>
        <s v="OID9267"/>
        <s v="OID5402"/>
        <s v="OID8716"/>
        <s v="OID4014"/>
        <s v="OID8569"/>
        <s v="OID6330"/>
        <s v="OID6607"/>
        <s v="OID4892"/>
        <s v="OID9692"/>
        <s v="OID4746"/>
        <s v="OID6057"/>
        <s v="OID3134"/>
        <s v="OID7980"/>
        <s v="OID7432"/>
        <s v="OID9465"/>
        <s v="OID9872"/>
        <s v="OID6856"/>
        <s v="OID1826"/>
        <s v="OID3421"/>
        <s v="OID6869"/>
        <s v="OID6635"/>
        <s v="OID8295"/>
        <s v="OID4642"/>
        <s v="OID7380"/>
        <s v="OID1086"/>
        <s v="OID6936"/>
        <s v="OID2938"/>
        <s v="OID8074"/>
        <s v="OID1076"/>
        <s v="OID8347"/>
        <s v="OID6373"/>
        <s v="OID5913"/>
        <s v="OID2941"/>
        <s v="OID9627"/>
        <s v="OID9705"/>
        <s v="OID7486"/>
        <s v="OID4560"/>
        <s v="OID1379"/>
        <s v="OID8114"/>
        <s v="OID9805"/>
        <s v="OID7003"/>
        <s v="OID5372"/>
        <s v="OID4097"/>
        <s v="OID7090"/>
        <s v="OID8741"/>
        <s v="OID6002"/>
        <s v="OID8585"/>
        <s v="OID6767"/>
        <s v="OID4369"/>
        <s v="OID5283"/>
        <s v="OID2949"/>
        <s v="OID1071"/>
        <s v="OID7412"/>
        <s v="OID6541"/>
        <s v="OID3550"/>
        <s v="OID7812"/>
        <s v="OID4101"/>
        <s v="OID2704"/>
        <s v="OID3902"/>
        <s v="OID6097"/>
        <s v="OID2270"/>
        <s v="OID4575"/>
        <s v="OID2338"/>
        <s v="OID9816"/>
        <s v="OID1586"/>
        <s v="OID9630"/>
        <s v="OID8034"/>
        <s v="OID4815"/>
        <s v="OID1898"/>
        <s v="OID7454"/>
        <s v="OID2597"/>
        <s v="OID6600"/>
        <s v="OID3490"/>
        <s v="OID5561"/>
        <s v="OID8830"/>
        <s v="OID9527"/>
        <s v="OID1067"/>
        <s v="OID2119"/>
        <s v="OID5802"/>
        <s v="OID4569"/>
        <s v="OID1508"/>
        <s v="OID3969"/>
        <s v="OID8974"/>
        <s v="OID6987"/>
        <s v="OID5834"/>
        <s v="OID3980"/>
        <s v="OID9700"/>
        <s v="OID1135"/>
        <s v="OID9451"/>
        <s v="OID4659"/>
        <s v="OID7205"/>
        <s v="OID9735"/>
        <s v="OID3358"/>
        <s v="OID4719"/>
        <s v="OID8203"/>
        <s v="OID2353"/>
        <s v="OID5255"/>
        <s v="OID7946"/>
        <s v="OID1159"/>
        <s v="OID5186"/>
        <s v="OID7156"/>
        <s v="OID3574"/>
        <s v="OID1477"/>
        <s v="OID2944"/>
        <s v="OID5130"/>
        <s v="OID7754"/>
        <s v="OID1246"/>
        <s v="OID8680"/>
        <s v="OID7102"/>
        <s v="OID7555"/>
        <s v="OID3165"/>
        <s v="OID9628"/>
        <s v="OID9782"/>
        <s v="OID7302"/>
        <s v="OID4580"/>
        <s v="OID7954"/>
        <s v="OID6246"/>
        <s v="OID5671"/>
        <s v="OID3145"/>
        <s v="OID8575"/>
        <s v="OID7910"/>
        <s v="OID1179"/>
        <s v="OID1041"/>
        <s v="OID1693"/>
        <s v="OID8609"/>
        <s v="OID9578"/>
        <s v="OID5985"/>
        <s v="OID2571"/>
        <s v="OID6045"/>
        <s v="OID1336"/>
        <s v="OID7117"/>
        <s v="OID3749"/>
        <s v="OID7008"/>
        <s v="OID8913"/>
        <s v="OID1597"/>
        <s v="OID4412"/>
        <s v="OID3900"/>
        <s v="OID9756"/>
        <s v="OID8307"/>
        <s v="OID5575"/>
        <s v="OID5883"/>
        <s v="OID6340"/>
        <s v="OID2501"/>
        <s v="OID6973"/>
        <s v="OID6597"/>
        <s v="OID4840"/>
        <s v="OID5389"/>
        <s v="OID8649"/>
        <s v="OID2779"/>
        <s v="OID4185"/>
        <s v="OID1243"/>
        <s v="OID4147"/>
        <s v="OID3681"/>
        <s v="OID5229"/>
        <s v="OID9990"/>
        <s v="OID1756"/>
        <s v="OID1866"/>
        <s v="OID2619"/>
        <s v="OID2505"/>
        <s v="OID7850"/>
        <s v="OID1966"/>
        <s v="OID3837"/>
        <s v="OID9187"/>
        <s v="OID3760"/>
        <s v="OID7065"/>
        <s v="OID6906"/>
        <s v="OID7996"/>
        <s v="OID9247"/>
        <s v="OID7303"/>
        <s v="OID2173"/>
        <s v="OID5367"/>
        <s v="OID9748"/>
        <s v="OID6469"/>
        <s v="OID1013"/>
        <s v="OID1219"/>
        <s v="OID9988"/>
        <s v="OID1669"/>
        <s v="OID7329"/>
        <s v="OID2873"/>
        <s v="OID4932"/>
        <s v="OID4169"/>
        <s v="OID6945"/>
        <s v="OID6794"/>
        <s v="OID2412"/>
        <s v="OID8162"/>
        <s v="OID8860"/>
        <s v="OID2523"/>
        <s v="OID7382"/>
        <s v="OID7593"/>
        <s v="OID9980"/>
        <s v="OID2440"/>
        <s v="OID7256"/>
        <s v="OID6854"/>
        <s v="OID9600"/>
        <s v="OID3186"/>
        <s v="OID1420"/>
        <s v="OID4436"/>
        <s v="OID6410"/>
        <s v="OID4538"/>
        <s v="OID8225"/>
        <s v="OID2099"/>
        <s v="OID9222"/>
        <s v="OID3523"/>
        <s v="OID3834"/>
        <s v="OID9975"/>
        <s v="OID6893"/>
        <s v="OID8192"/>
        <s v="OID7904"/>
        <s v="OID5999"/>
        <s v="OID7409"/>
        <s v="OID8708"/>
        <s v="OID5745"/>
        <s v="OID9178"/>
        <s v="OID2529"/>
        <s v="OID3125"/>
        <s v="OID4011"/>
        <s v="OID1592"/>
        <s v="OID7667"/>
        <s v="OID5182"/>
        <s v="OID1833"/>
        <s v="OID5190"/>
        <s v="OID4399"/>
        <s v="OID8104"/>
        <s v="OID1054"/>
        <s v="OID7828"/>
        <s v="OID5598"/>
        <s v="OID7417"/>
        <s v="OID8004"/>
        <s v="OID7287"/>
        <s v="OID3637"/>
        <s v="OID2097"/>
        <s v="OID3388"/>
        <s v="OID1114"/>
        <s v="OID3556"/>
        <s v="OID9404"/>
        <s v="OID4552"/>
        <s v="OID8486"/>
        <s v="OID4240"/>
        <s v="OID3727"/>
        <s v="OID8955"/>
        <s v="OID1744"/>
        <s v="OID5831"/>
        <s v="OID2842"/>
        <s v="OID1661"/>
        <s v="OID9123"/>
        <s v="OID3981"/>
        <s v="OID6634"/>
        <s v="OID9069"/>
        <s v="OID6802"/>
        <s v="OID4442"/>
        <s v="OID4995"/>
        <s v="OID7650"/>
        <s v="OID5555"/>
        <s v="OID1769"/>
        <s v="OID2189"/>
        <s v="OID9035"/>
        <s v="OID4219"/>
        <s v="OID1694"/>
        <s v="OID7495"/>
        <s v="OID1080"/>
        <s v="OID4539"/>
        <s v="OID8093"/>
        <s v="OID1707"/>
        <s v="OID5703"/>
        <s v="OID7457"/>
        <s v="OID4784"/>
        <s v="OID1726"/>
        <s v="OID1073"/>
        <s v="OID7443"/>
        <s v="OID1025"/>
        <s v="OID8826"/>
        <s v="OID6254"/>
        <s v="OID7518"/>
        <s v="OID4491"/>
        <s v="OID8288"/>
        <s v="OID6504"/>
        <s v="OID2595"/>
        <s v="OID9478"/>
        <s v="OID1169"/>
        <s v="OID6775"/>
        <s v="OID2383"/>
        <s v="OID3750"/>
        <s v="OID4837"/>
        <s v="OID6975"/>
        <s v="OID1869"/>
        <s v="OID3921"/>
        <s v="OID4056"/>
        <s v="OID4907"/>
        <s v="OID9684"/>
        <s v="OID2044"/>
        <s v="OID6436"/>
        <s v="OID9374"/>
        <s v="OID2767"/>
        <s v="OID8981"/>
        <s v="OID2246"/>
        <s v="OID1779"/>
        <s v="OID2005"/>
        <s v="OID6485"/>
        <s v="OID6319"/>
        <s v="OID9461"/>
        <s v="OID4522"/>
        <s v="OID9862"/>
        <s v="OID6361"/>
        <s v="OID7238"/>
        <s v="OID8446"/>
        <s v="OID9459"/>
        <s v="OID6433"/>
        <s v="OID3128"/>
        <s v="OID8972"/>
        <s v="OID5970"/>
        <s v="OID3491"/>
        <s v="OID6651"/>
        <s v="OID2861"/>
        <s v="OID3302"/>
        <s v="OID9922"/>
        <s v="OID4613"/>
        <s v="OID7483"/>
        <s v="OID7418"/>
        <s v="OID3361"/>
        <s v="OID7475"/>
        <s v="OID6847"/>
      </sharedItems>
    </cacheField>
    <cacheField name="Order_Date" numFmtId="164">
      <sharedItems containsSemiMixedTypes="0" containsNonDate="0" containsDate="1" containsString="0" minDate="2023-02-09T00:00:00" maxDate="2025-02-08T00:00:00"/>
    </cacheField>
    <cacheField name="Order_Time" numFmtId="0">
      <sharedItems/>
    </cacheField>
    <cacheField name="Product_ID" numFmtId="0">
      <sharedItems count="50">
        <s v="PID022"/>
        <s v="PID015"/>
        <s v="PID023"/>
        <s v="PID031"/>
        <s v="PID043"/>
        <s v="PID046"/>
        <s v="PID034"/>
        <s v="PID033"/>
        <s v="PID007"/>
        <s v="PID042"/>
        <s v="PID047"/>
        <s v="PID039"/>
        <s v="PID014"/>
        <s v="PID024"/>
        <s v="PID003"/>
        <s v="PID008"/>
        <s v="PID012"/>
        <s v="PID028"/>
        <s v="PID030"/>
        <s v="PID026"/>
        <s v="PID018"/>
        <s v="PID036"/>
        <s v="PID050"/>
        <s v="PID021"/>
        <s v="PID027"/>
        <s v="PID037"/>
        <s v="PID041"/>
        <s v="PID004"/>
        <s v="PID020"/>
        <s v="PID010"/>
        <s v="PID001"/>
        <s v="PID019"/>
        <s v="PID009"/>
        <s v="PID038"/>
        <s v="PID048"/>
        <s v="PID049"/>
        <s v="PID017"/>
        <s v="PID016"/>
        <s v="PID006"/>
        <s v="PID025"/>
        <s v="PID005"/>
        <s v="PID035"/>
        <s v="PID013"/>
        <s v="PID032"/>
        <s v="PID040"/>
        <s v="PID029"/>
        <s v="PID044"/>
        <s v="PID011"/>
        <s v="PID002"/>
        <s v="PID045"/>
      </sharedItems>
    </cacheField>
    <cacheField name="Price" numFmtId="0">
      <sharedItems containsSemiMixedTypes="0" containsString="0" containsNumber="1" minValue="20" maxValue="496.59"/>
    </cacheField>
    <cacheField name="Quantity" numFmtId="0">
      <sharedItems containsSemiMixedTypes="0" containsString="0" containsNumber="1" containsInteger="1" minValue="1" maxValue="5"/>
    </cacheField>
    <cacheField name="Coupon_Code" numFmtId="0">
      <sharedItems/>
    </cacheField>
    <cacheField name="Estimated_Days_to_Deliver" numFmtId="0">
      <sharedItems containsSemiMixedTypes="0" containsString="0" containsNumber="1" containsInteger="1" minValue="1" maxValue="7"/>
    </cacheField>
    <cacheField name="Delivery_Charge" numFmtId="0">
      <sharedItems containsSemiMixedTypes="0" containsString="0" containsNumber="1" containsInteger="1" minValue="35" maxValue="70" count="36">
        <n v="60"/>
        <n v="66"/>
        <n v="47"/>
        <n v="54"/>
        <n v="39"/>
        <n v="70"/>
        <n v="63"/>
        <n v="59"/>
        <n v="35"/>
        <n v="62"/>
        <n v="65"/>
        <n v="58"/>
        <n v="40"/>
        <n v="44"/>
        <n v="38"/>
        <n v="43"/>
        <n v="56"/>
        <n v="55"/>
        <n v="57"/>
        <n v="42"/>
        <n v="36"/>
        <n v="53"/>
        <n v="64"/>
        <n v="50"/>
        <n v="52"/>
        <n v="49"/>
        <n v="41"/>
        <n v="46"/>
        <n v="69"/>
        <n v="48"/>
        <n v="67"/>
        <n v="61"/>
        <n v="68"/>
        <n v="45"/>
        <n v="51"/>
        <n v="37"/>
      </sharedItems>
    </cacheField>
    <cacheField name="Delivery_Date" numFmtId="164">
      <sharedItems containsSemiMixedTypes="0" containsNonDate="0" containsDate="1" containsString="0" minDate="2023-02-13T00:00:00" maxDate="2025-02-14T00:00:00"/>
    </cacheField>
    <cacheField name="Delivery_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CID186"/>
    <s v="Anne Oconnell "/>
    <s v="Anne"/>
    <s v="Oconnell"/>
    <n v="37"/>
    <s v="36-45"/>
    <x v="0"/>
    <s v="Phoenix"/>
    <s v="anne.oconnell@outlook.com"/>
    <x v="0"/>
    <s v="2850 Matthew Ford, North Yolandachester, FL 67488"/>
    <s v="OID2497"/>
    <d v="2024-03-07T00:00:00"/>
    <s v="18:16:33"/>
    <s v="PID022"/>
    <n v="308.88"/>
    <n v="5"/>
    <s v="FLAT8"/>
    <n v="8"/>
    <n v="4"/>
    <s v="Before_time"/>
    <n v="60"/>
    <n v="3"/>
    <d v="2024-03-10T00:00:00"/>
    <x v="0"/>
    <x v="0"/>
    <s v="08:51:31"/>
    <n v="1480.8480000000002"/>
    <n v="123.55200000000001"/>
    <n v="1420.8480000000002"/>
    <n v="1544.4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7056"/>
    <d v="2024-03-27T00:00:00"/>
    <s v="01:46:33"/>
    <s v="PID015"/>
    <n v="166.28"/>
    <n v="4"/>
    <s v="FLAT8"/>
    <n v="8"/>
    <n v="7"/>
    <s v="Before_time"/>
    <n v="66"/>
    <n v="3"/>
    <d v="2024-03-30T00:00:00"/>
    <x v="0"/>
    <x v="0"/>
    <s v="18:46:26"/>
    <n v="677.91039999999998"/>
    <n v="53.209600000000002"/>
    <n v="611.91039999999998"/>
    <n v="665.12"/>
  </r>
  <r>
    <s v="CID115"/>
    <s v="Karl Gallagher "/>
    <s v="Karl"/>
    <s v="Gallagher"/>
    <n v="60"/>
    <s v="&gt;45"/>
    <x v="2"/>
    <s v="Phoenix"/>
    <s v="karl.gallagher@rediffmail.com"/>
    <x v="1"/>
    <s v="5016 Snow Mountains Apt. 063, New Seanport, WY 41492"/>
    <s v="OID7502"/>
    <d v="2024-02-20T00:00:00"/>
    <s v="07:31:36"/>
    <s v="PID023"/>
    <n v="202.54"/>
    <n v="1"/>
    <s v="FLAT15"/>
    <n v="15"/>
    <n v="3"/>
    <s v="Before_time"/>
    <n v="47"/>
    <n v="2"/>
    <d v="2024-02-22T00:00:00"/>
    <x v="0"/>
    <x v="1"/>
    <s v="14:29:50"/>
    <n v="219.15899999999999"/>
    <n v="30.381"/>
    <n v="172.15899999999999"/>
    <n v="202.54"/>
  </r>
  <r>
    <s v="CID115"/>
    <s v="Karl Gallagher "/>
    <s v="Karl"/>
    <s v="Gallagher"/>
    <n v="60"/>
    <s v="&gt;45"/>
    <x v="2"/>
    <s v="Phoenix"/>
    <s v="karl.gallagher@rediffmail.com"/>
    <x v="1"/>
    <s v="5016 Snow Mountains Apt. 063, New Seanport, WY 41492"/>
    <s v="OID7077"/>
    <d v="2024-05-14T00:00:00"/>
    <s v="18:29:21"/>
    <s v="PID031"/>
    <n v="405"/>
    <n v="5"/>
    <s v="DEL0"/>
    <n v="0"/>
    <n v="6"/>
    <s v="Before_time"/>
    <n v="47"/>
    <n v="4"/>
    <d v="2024-05-18T00:00:00"/>
    <x v="0"/>
    <x v="2"/>
    <s v="07:00:32"/>
    <n v="2072"/>
    <n v="0"/>
    <n v="2025"/>
    <n v="2025"/>
  </r>
  <r>
    <s v="CID149"/>
    <s v="Angela Horne "/>
    <s v="Angela"/>
    <s v="Horne"/>
    <n v="49"/>
    <s v="&gt;45"/>
    <x v="2"/>
    <s v="Phoenix"/>
    <s v="angela.horne@outlook.com"/>
    <x v="0"/>
    <s v="USNV Mueller, FPO AP 54648"/>
    <s v="OID2793"/>
    <d v="2024-04-09T00:00:00"/>
    <s v="03:23:21"/>
    <s v="PID015"/>
    <n v="166.28"/>
    <n v="1"/>
    <s v="FLAT8"/>
    <n v="8"/>
    <n v="2"/>
    <s v="Late_Delivery"/>
    <n v="54"/>
    <n v="4"/>
    <d v="2024-04-13T00:00:00"/>
    <x v="0"/>
    <x v="3"/>
    <s v="22:10:58"/>
    <n v="206.9776"/>
    <n v="13.3024"/>
    <n v="152.9776"/>
    <n v="166.28"/>
  </r>
  <r>
    <s v="CID159"/>
    <s v="Christine West "/>
    <s v="Christine"/>
    <s v="West"/>
    <n v="53"/>
    <s v="&gt;45"/>
    <x v="2"/>
    <s v="New York"/>
    <s v="christine.west@gmail.com"/>
    <x v="2"/>
    <s v="Unit 1433 Box 0246, DPO AP 94952"/>
    <s v="OID1483"/>
    <d v="2024-09-08T00:00:00"/>
    <s v="16:55:06"/>
    <s v="PID043"/>
    <n v="330.11"/>
    <n v="4"/>
    <s v="FLAT15"/>
    <n v="15"/>
    <n v="6"/>
    <s v="Before_time"/>
    <n v="39"/>
    <n v="4"/>
    <d v="2024-09-12T00:00:00"/>
    <x v="0"/>
    <x v="4"/>
    <s v="11:25:50"/>
    <n v="1161.374"/>
    <n v="198.06600000000003"/>
    <n v="1122.374"/>
    <n v="1320.44"/>
  </r>
  <r>
    <s v="CID115"/>
    <s v="Karl Gallagher "/>
    <s v="Karl"/>
    <s v="Gallagher"/>
    <n v="60"/>
    <s v="&gt;45"/>
    <x v="2"/>
    <s v="Phoenix"/>
    <s v="karl.gallagher@rediffmail.com"/>
    <x v="1"/>
    <s v="5016 Snow Mountains Apt. 063, New Seanport, WY 41492"/>
    <s v="OID4105"/>
    <d v="2025-01-05T00:00:00"/>
    <s v="09:47:21"/>
    <s v="PID022"/>
    <n v="308.88"/>
    <n v="5"/>
    <s v="FLAT20"/>
    <n v="20"/>
    <n v="5"/>
    <s v="Before_time"/>
    <n v="47"/>
    <n v="3"/>
    <d v="2025-01-08T00:00:00"/>
    <x v="1"/>
    <x v="5"/>
    <s v="20:10:50"/>
    <n v="1282.5200000000002"/>
    <n v="308.88"/>
    <n v="1235.5200000000002"/>
    <n v="1544.4"/>
  </r>
  <r>
    <s v="CID198"/>
    <s v="David Delacruz "/>
    <s v="David"/>
    <s v="Delacruz"/>
    <n v="26"/>
    <s v="26-35"/>
    <x v="1"/>
    <s v="Los Angeles"/>
    <s v="david.delacruz@rediffmail.com"/>
    <x v="1"/>
    <s v="USNS Ray, FPO AE 20238"/>
    <s v="OID4372"/>
    <d v="2024-06-16T00:00:00"/>
    <s v="19:27:45"/>
    <s v="PID046"/>
    <n v="363.64"/>
    <n v="3"/>
    <s v="FLAT10"/>
    <n v="10"/>
    <n v="2"/>
    <s v="Late_Delivery"/>
    <n v="70"/>
    <n v="5"/>
    <d v="2024-06-21T00:00:00"/>
    <x v="0"/>
    <x v="6"/>
    <s v="12:36:32"/>
    <n v="1051.828"/>
    <n v="109.09200000000001"/>
    <n v="981.82800000000009"/>
    <n v="1090.92"/>
  </r>
  <r>
    <s v="CID152"/>
    <s v="Marcus Valenzuela "/>
    <s v="Marcus"/>
    <s v="Valenzuela"/>
    <n v="39"/>
    <s v="36-45"/>
    <x v="0"/>
    <s v="Phoenix"/>
    <s v="marcus.valenzuela@yahoo.com"/>
    <x v="3"/>
    <s v="694 Graham Prairie Apt. 887, Jimenezfurt, MI 33044"/>
    <s v="OID3528"/>
    <d v="2023-04-24T00:00:00"/>
    <s v="12:07:00"/>
    <s v="PID034"/>
    <n v="275.44"/>
    <n v="1"/>
    <s v="FLAT8"/>
    <n v="8"/>
    <n v="7"/>
    <s v="Before_time"/>
    <n v="63"/>
    <n v="2"/>
    <d v="2023-04-26T00:00:00"/>
    <x v="2"/>
    <x v="3"/>
    <s v="23:05:41"/>
    <n v="316.40480000000002"/>
    <n v="22.0352"/>
    <n v="253.40480000000002"/>
    <n v="275.44"/>
  </r>
  <r>
    <s v="CID130"/>
    <s v="Debra Rodriguez "/>
    <s v="Debra"/>
    <s v="Rodriguez"/>
    <n v="48"/>
    <s v="&gt;45"/>
    <x v="2"/>
    <s v="Houston"/>
    <s v="debra.rodriguez@rediffmail.com"/>
    <x v="1"/>
    <s v="Unit 5964 Box 0721, DPO AP 01840"/>
    <s v="OID9634"/>
    <d v="2023-12-22T00:00:00"/>
    <s v="13:46:47"/>
    <s v="PID033"/>
    <n v="48.45"/>
    <n v="1"/>
    <s v="FLAT15"/>
    <n v="15"/>
    <n v="7"/>
    <s v="Before_time"/>
    <n v="59"/>
    <n v="5"/>
    <d v="2023-12-27T00:00:00"/>
    <x v="2"/>
    <x v="7"/>
    <s v="19:57:06"/>
    <n v="100.1825"/>
    <n v="7.2675000000000001"/>
    <n v="41.182500000000005"/>
    <n v="48.45"/>
  </r>
  <r>
    <s v="CID115"/>
    <s v="Karl Gallagher "/>
    <s v="Karl"/>
    <s v="Gallagher"/>
    <n v="60"/>
    <s v="&gt;45"/>
    <x v="2"/>
    <s v="Phoenix"/>
    <s v="karl.gallagher@rediffmail.com"/>
    <x v="1"/>
    <s v="5016 Snow Mountains Apt. 063, New Seanport, WY 41492"/>
    <s v="OID1905"/>
    <d v="2024-10-23T00:00:00"/>
    <s v="17:21:43"/>
    <s v="PID046"/>
    <n v="363.64"/>
    <n v="4"/>
    <s v="DEL0"/>
    <n v="0"/>
    <n v="2"/>
    <s v="On_time"/>
    <n v="35"/>
    <n v="2"/>
    <d v="2024-10-25T00:00:00"/>
    <x v="0"/>
    <x v="8"/>
    <s v="08:00:35"/>
    <n v="1489.56"/>
    <n v="0"/>
    <n v="1454.56"/>
    <n v="1454.56"/>
  </r>
  <r>
    <s v="CID101"/>
    <s v="Bobby Forbes "/>
    <s v="Bobby"/>
    <s v="Forbes"/>
    <n v="20"/>
    <s v="0-25"/>
    <x v="0"/>
    <s v="Los Angeles"/>
    <s v="bobby.forbes@gmail.com"/>
    <x v="2"/>
    <s v="3079 John Parkway Suite 961, Port Kristaview, MT 91019"/>
    <s v="OID3136"/>
    <d v="2024-07-25T00:00:00"/>
    <s v="15:09:49"/>
    <s v="PID007"/>
    <n v="257.06"/>
    <n v="3"/>
    <s v="DEL0"/>
    <n v="0"/>
    <n v="7"/>
    <s v="Before_time"/>
    <n v="62"/>
    <n v="1"/>
    <d v="2024-07-26T00:00:00"/>
    <x v="0"/>
    <x v="9"/>
    <s v="22:54:40"/>
    <n v="833.18000000000006"/>
    <n v="0"/>
    <n v="771.18000000000006"/>
    <n v="771.18000000000006"/>
  </r>
  <r>
    <s v="CID105"/>
    <s v="Joseph Stewart "/>
    <s v="Joseph"/>
    <s v="Stewart"/>
    <n v="30"/>
    <s v="26-35"/>
    <x v="1"/>
    <s v="Houston"/>
    <s v="joseph.stewart@yahoo.com"/>
    <x v="3"/>
    <s v="4082 Wang Terrace Suite 040, Victorialand, ME 41532"/>
    <s v="OID6886"/>
    <d v="2023-03-12T00:00:00"/>
    <s v="22:42:51"/>
    <s v="PID042"/>
    <n v="175.93"/>
    <n v="4"/>
    <s v="FLAT8"/>
    <n v="8"/>
    <n v="3"/>
    <s v="Before_time"/>
    <n v="65"/>
    <n v="2"/>
    <d v="2023-03-14T00:00:00"/>
    <x v="2"/>
    <x v="0"/>
    <s v="13:19:45"/>
    <n v="712.42240000000004"/>
    <n v="56.297600000000003"/>
    <n v="647.42240000000004"/>
    <n v="703.72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3509"/>
    <d v="2023-12-07T00:00:00"/>
    <s v="14:52:54"/>
    <s v="PID047"/>
    <n v="190.1"/>
    <n v="1"/>
    <s v="DEL0"/>
    <n v="0"/>
    <n v="1"/>
    <s v="Late_Delivery"/>
    <n v="70"/>
    <n v="3"/>
    <d v="2023-12-10T00:00:00"/>
    <x v="2"/>
    <x v="7"/>
    <s v="15:16:54"/>
    <n v="260.10000000000002"/>
    <n v="0"/>
    <n v="190.1"/>
    <n v="190.1"/>
  </r>
  <r>
    <s v="CID178"/>
    <s v="Amy Reid "/>
    <s v="Amy"/>
    <s v="Reid"/>
    <n v="44"/>
    <s v="36-45"/>
    <x v="1"/>
    <s v="Los Angeles"/>
    <s v="amy.reid@rediffmail.com"/>
    <x v="1"/>
    <s v="6262 Simpson Village, North Danielle, RI 76074"/>
    <s v="OID3689"/>
    <d v="2024-03-26T00:00:00"/>
    <s v="01:19:56"/>
    <s v="PID039"/>
    <n v="220.27"/>
    <n v="2"/>
    <s v="DEL0"/>
    <n v="0"/>
    <n v="3"/>
    <s v="Late_Delivery"/>
    <n v="39"/>
    <n v="5"/>
    <d v="2024-03-31T00:00:00"/>
    <x v="0"/>
    <x v="0"/>
    <s v="21:47:03"/>
    <n v="479.54"/>
    <n v="0"/>
    <n v="440.54"/>
    <n v="440.54"/>
  </r>
  <r>
    <s v="CID176"/>
    <s v="Joshua Campbell "/>
    <s v="Joshua"/>
    <s v="Campbell"/>
    <n v="24"/>
    <s v="0-25"/>
    <x v="0"/>
    <s v="Chicago"/>
    <s v="joshua.campbell@gmail.com"/>
    <x v="2"/>
    <s v="70426 Lindsey Overpass Apt. 030, Jessicafurt, AR 46269"/>
    <s v="OID1911"/>
    <d v="2023-06-02T00:00:00"/>
    <s v="04:13:27"/>
    <s v="PID043"/>
    <n v="330.11"/>
    <n v="4"/>
    <s v="DEL0"/>
    <n v="0"/>
    <n v="1"/>
    <s v="On_time"/>
    <n v="58"/>
    <n v="1"/>
    <d v="2023-06-03T00:00:00"/>
    <x v="2"/>
    <x v="6"/>
    <s v="11:25:46"/>
    <n v="1378.44"/>
    <n v="0"/>
    <n v="1320.44"/>
    <n v="1320.44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6520"/>
    <d v="2023-02-09T00:00:00"/>
    <s v="23:53:21"/>
    <s v="PID014"/>
    <n v="272.51"/>
    <n v="4"/>
    <s v="FLAT10"/>
    <n v="10"/>
    <n v="5"/>
    <s v="Before_time"/>
    <n v="40"/>
    <n v="4"/>
    <d v="2023-02-13T00:00:00"/>
    <x v="2"/>
    <x v="1"/>
    <s v="12:55:59"/>
    <n v="1021.0359999999999"/>
    <n v="109.00399999999999"/>
    <n v="981.03599999999994"/>
    <n v="1090.04"/>
  </r>
  <r>
    <s v="CID137"/>
    <s v="Gina Moreno "/>
    <s v="Gina"/>
    <s v="Moreno"/>
    <n v="36"/>
    <s v="36-45"/>
    <x v="2"/>
    <s v="Miami"/>
    <s v="gina.moreno@rediffmail.com"/>
    <x v="1"/>
    <s v="USS Murray, FPO AP 66559"/>
    <s v="OID6123"/>
    <d v="2024-09-07T00:00:00"/>
    <s v="19:16:28"/>
    <s v="PID024"/>
    <n v="104.18"/>
    <n v="2"/>
    <s v="DEL0"/>
    <n v="0"/>
    <n v="4"/>
    <s v="Before_time"/>
    <n v="44"/>
    <n v="3"/>
    <d v="2024-09-10T00:00:00"/>
    <x v="0"/>
    <x v="4"/>
    <s v="03:46:23"/>
    <n v="252.36"/>
    <n v="0"/>
    <n v="208.36"/>
    <n v="208.36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1699"/>
    <d v="2025-01-08T00:00:00"/>
    <s v="11:48:17"/>
    <s v="PID033"/>
    <n v="48.45"/>
    <n v="4"/>
    <s v="FLAT10"/>
    <n v="10"/>
    <n v="1"/>
    <s v="Late_Delivery"/>
    <n v="70"/>
    <n v="5"/>
    <d v="2025-01-13T00:00:00"/>
    <x v="1"/>
    <x v="5"/>
    <s v="10:08:54"/>
    <n v="244.42000000000002"/>
    <n v="19.38"/>
    <n v="174.42000000000002"/>
    <n v="193.8"/>
  </r>
  <r>
    <s v="CID128"/>
    <s v="Traci Jones "/>
    <s v="Traci"/>
    <s v="Jones"/>
    <n v="34"/>
    <s v="26-35"/>
    <x v="0"/>
    <s v="Los Angeles"/>
    <s v="traci.jones@yahoo.com"/>
    <x v="3"/>
    <s v="4016 Ryan Passage, Collinsside, PA 88777"/>
    <s v="OID3792"/>
    <d v="2024-09-21T00:00:00"/>
    <s v="06:34:00"/>
    <s v="PID003"/>
    <n v="20.7"/>
    <n v="5"/>
    <s v="DEL0"/>
    <n v="0"/>
    <n v="7"/>
    <s v="Before_time"/>
    <n v="38"/>
    <n v="5"/>
    <d v="2024-09-26T00:00:00"/>
    <x v="0"/>
    <x v="4"/>
    <s v="14:05:20"/>
    <n v="141.5"/>
    <n v="0"/>
    <n v="103.5"/>
    <n v="103.5"/>
  </r>
  <r>
    <s v="CID168"/>
    <s v="Deborah Bates "/>
    <s v="Deborah"/>
    <s v="Bates"/>
    <n v="23"/>
    <s v="0-25"/>
    <x v="0"/>
    <s v="Los Angeles"/>
    <s v="deborah.bates@yahoo.com"/>
    <x v="3"/>
    <s v="278 Kathy Estate, Saraville, OH 77292"/>
    <s v="OID7663"/>
    <d v="2024-08-16T00:00:00"/>
    <s v="04:06:55"/>
    <s v="PID022"/>
    <n v="308.88"/>
    <n v="3"/>
    <s v="FLAT10"/>
    <n v="10"/>
    <n v="7"/>
    <s v="Before_time"/>
    <n v="43"/>
    <n v="1"/>
    <d v="2024-08-17T00:00:00"/>
    <x v="0"/>
    <x v="10"/>
    <s v="13:39:21"/>
    <n v="876.976"/>
    <n v="92.664000000000001"/>
    <n v="833.976"/>
    <n v="926.64"/>
  </r>
  <r>
    <s v="CID179"/>
    <s v="Christian Clayton "/>
    <s v="Christian"/>
    <s v="Clayton"/>
    <n v="39"/>
    <s v="36-45"/>
    <x v="1"/>
    <s v="Chicago"/>
    <s v="christian.clayton@yahoo.com"/>
    <x v="3"/>
    <s v="065 Madison Way, Smithstad, CT 68011"/>
    <s v="OID7609"/>
    <d v="2024-03-01T00:00:00"/>
    <s v="10:38:12"/>
    <s v="PID024"/>
    <n v="104.18"/>
    <n v="5"/>
    <s v="FLAT8"/>
    <n v="8"/>
    <n v="5"/>
    <s v="Before_time"/>
    <n v="58"/>
    <n v="4"/>
    <d v="2024-03-05T00:00:00"/>
    <x v="0"/>
    <x v="0"/>
    <s v="13:23:35"/>
    <n v="537.22800000000007"/>
    <n v="41.672000000000004"/>
    <n v="479.22800000000012"/>
    <n v="520.90000000000009"/>
  </r>
  <r>
    <s v="CID163"/>
    <s v="Mark Henderson "/>
    <s v="Mark"/>
    <s v="Henderson"/>
    <n v="33"/>
    <s v="26-35"/>
    <x v="2"/>
    <s v="Dallas"/>
    <s v="mark.henderson@yahoo.com"/>
    <x v="3"/>
    <s v="90155 Hines Spring, North Theresafurt, ME 31920"/>
    <s v="OID8875"/>
    <d v="2023-07-18T00:00:00"/>
    <s v="20:47:13"/>
    <s v="PID008"/>
    <n v="461.07"/>
    <n v="1"/>
    <s v="FLAT8"/>
    <n v="8"/>
    <n v="1"/>
    <s v="On_time"/>
    <n v="56"/>
    <n v="1"/>
    <d v="2023-07-19T00:00:00"/>
    <x v="2"/>
    <x v="9"/>
    <s v="16:23:04"/>
    <n v="480.18440000000004"/>
    <n v="36.885599999999997"/>
    <n v="424.18440000000004"/>
    <n v="461.07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4032"/>
    <d v="2023-09-25T00:00:00"/>
    <s v="08:09:52"/>
    <s v="PID012"/>
    <n v="132.97"/>
    <n v="1"/>
    <s v="FLAT15"/>
    <n v="15"/>
    <n v="4"/>
    <s v="On_time"/>
    <n v="55"/>
    <n v="4"/>
    <d v="2023-09-29T00:00:00"/>
    <x v="2"/>
    <x v="4"/>
    <s v="00:57:21"/>
    <n v="168.02449999999999"/>
    <n v="19.945499999999999"/>
    <n v="113.02449999999999"/>
    <n v="132.97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9964"/>
    <d v="2023-08-08T00:00:00"/>
    <s v="19:13:06"/>
    <s v="PID028"/>
    <n v="126.19"/>
    <n v="2"/>
    <s v="DEL0"/>
    <n v="0"/>
    <n v="3"/>
    <s v="Late_Delivery"/>
    <n v="63"/>
    <n v="4"/>
    <d v="2023-08-12T00:00:00"/>
    <x v="2"/>
    <x v="10"/>
    <s v="04:38:19"/>
    <n v="315.38"/>
    <n v="0"/>
    <n v="252.38"/>
    <n v="252.38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2121"/>
    <d v="2023-07-31T00:00:00"/>
    <s v="06:04:50"/>
    <s v="PID030"/>
    <n v="282.63"/>
    <n v="3"/>
    <s v="DEL0"/>
    <n v="0"/>
    <n v="2"/>
    <s v="Late_Delivery"/>
    <n v="40"/>
    <n v="4"/>
    <d v="2023-08-04T00:00:00"/>
    <x v="2"/>
    <x v="10"/>
    <s v="20:36:00"/>
    <n v="887.89"/>
    <n v="0"/>
    <n v="847.89"/>
    <n v="847.89"/>
  </r>
  <r>
    <s v="CID101"/>
    <s v="Bobby Forbes "/>
    <s v="Bobby"/>
    <s v="Forbes"/>
    <n v="20"/>
    <s v="0-25"/>
    <x v="0"/>
    <s v="Los Angeles"/>
    <s v="bobby.forbes@gmail.com"/>
    <x v="2"/>
    <s v="3079 John Parkway Suite 961, Port Kristaview, MT 91019"/>
    <s v="OID4710"/>
    <d v="2023-05-20T00:00:00"/>
    <s v="17:44:17"/>
    <s v="PID026"/>
    <n v="128.13999999999999"/>
    <n v="3"/>
    <s v="FLAT8"/>
    <n v="8"/>
    <n v="4"/>
    <s v="Before_time"/>
    <n v="70"/>
    <n v="3"/>
    <d v="2023-05-23T00:00:00"/>
    <x v="2"/>
    <x v="2"/>
    <s v="09:53:18"/>
    <n v="423.66639999999995"/>
    <n v="30.753599999999995"/>
    <n v="353.66639999999995"/>
    <n v="384.41999999999996"/>
  </r>
  <r>
    <s v="CID101"/>
    <s v="Bobby Forbes "/>
    <s v="Bobby"/>
    <s v="Forbes"/>
    <n v="20"/>
    <s v="0-25"/>
    <x v="0"/>
    <s v="Los Angeles"/>
    <s v="bobby.forbes@gmail.com"/>
    <x v="2"/>
    <s v="3079 John Parkway Suite 961, Port Kristaview, MT 91019"/>
    <s v="OID4295"/>
    <d v="2023-09-16T00:00:00"/>
    <s v="18:58:15"/>
    <s v="PID046"/>
    <n v="363.64"/>
    <n v="3"/>
    <s v="FLAT20"/>
    <n v="20"/>
    <n v="5"/>
    <s v="Before_time"/>
    <n v="39"/>
    <n v="4"/>
    <d v="2023-09-20T00:00:00"/>
    <x v="2"/>
    <x v="4"/>
    <s v="02:21:23"/>
    <n v="911.7360000000001"/>
    <n v="218.18400000000003"/>
    <n v="872.7360000000001"/>
    <n v="1090.92"/>
  </r>
  <r>
    <s v="CID193"/>
    <s v="Ashley Rose "/>
    <s v="Ashley"/>
    <s v="Rose"/>
    <n v="60"/>
    <s v="&gt;45"/>
    <x v="2"/>
    <s v="Phoenix"/>
    <s v="ashley.rose@gmail.com"/>
    <x v="2"/>
    <s v="424 Nichols Curve Suite 177, Lake Brianview, TX 17289"/>
    <s v="OID2817"/>
    <d v="2023-03-02T00:00:00"/>
    <s v="12:22:52"/>
    <s v="PID046"/>
    <n v="363.64"/>
    <n v="2"/>
    <s v="FLAT15"/>
    <n v="15"/>
    <n v="1"/>
    <s v="On_time"/>
    <n v="43"/>
    <n v="1"/>
    <d v="2023-03-03T00:00:00"/>
    <x v="2"/>
    <x v="0"/>
    <s v="08:01:21"/>
    <n v="661.18799999999999"/>
    <n v="109.09199999999998"/>
    <n v="618.18799999999999"/>
    <n v="727.28"/>
  </r>
  <r>
    <s v="CID166"/>
    <s v="Taylor Davis "/>
    <s v="Taylor"/>
    <s v="Davis"/>
    <n v="54"/>
    <s v="&gt;45"/>
    <x v="1"/>
    <s v="Phoenix"/>
    <s v="taylor.davis@yahoo.com"/>
    <x v="3"/>
    <s v="USCGC Simmons, FPO AA 60167"/>
    <s v="OID4643"/>
    <d v="2023-10-25T00:00:00"/>
    <s v="00:40:20"/>
    <s v="PID018"/>
    <n v="62.42"/>
    <n v="1"/>
    <s v="DEL0"/>
    <n v="0"/>
    <n v="3"/>
    <s v="Late_Delivery"/>
    <n v="58"/>
    <n v="5"/>
    <d v="2023-10-30T00:00:00"/>
    <x v="2"/>
    <x v="8"/>
    <s v="20:26:25"/>
    <n v="120.42"/>
    <n v="0"/>
    <n v="62.42"/>
    <n v="62.42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4558"/>
    <d v="2024-04-07T00:00:00"/>
    <s v="21:19:14"/>
    <s v="PID012"/>
    <n v="132.97"/>
    <n v="1"/>
    <s v="DEL0"/>
    <n v="0"/>
    <n v="6"/>
    <s v="Late_Delivery"/>
    <n v="57"/>
    <n v="7"/>
    <d v="2024-04-14T00:00:00"/>
    <x v="0"/>
    <x v="3"/>
    <s v="17:27:57"/>
    <n v="189.97"/>
    <n v="0"/>
    <n v="132.97"/>
    <n v="132.97"/>
  </r>
  <r>
    <s v="CID108"/>
    <s v="Teresa Harvey "/>
    <s v="Teresa"/>
    <s v="Harvey"/>
    <n v="64"/>
    <s v="&gt;45"/>
    <x v="2"/>
    <s v="Phoenix"/>
    <s v="teresa.harvey@gmail.com"/>
    <x v="2"/>
    <s v="02669 Kirk Squares, Davisville, VA 51272"/>
    <s v="OID9577"/>
    <d v="2023-04-23T00:00:00"/>
    <s v="10:35:41"/>
    <s v="PID036"/>
    <n v="157.63999999999999"/>
    <n v="4"/>
    <s v="FLAT20"/>
    <n v="20"/>
    <n v="7"/>
    <s v="On_time"/>
    <n v="59"/>
    <n v="7"/>
    <d v="2023-04-30T00:00:00"/>
    <x v="2"/>
    <x v="3"/>
    <s v="09:28:47"/>
    <n v="563.44799999999998"/>
    <n v="126.11199999999999"/>
    <n v="504.44799999999998"/>
    <n v="630.55999999999995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5502"/>
    <d v="2024-09-13T00:00:00"/>
    <s v="13:50:14"/>
    <s v="PID050"/>
    <n v="158.53"/>
    <n v="5"/>
    <s v="FLAT20"/>
    <n v="20"/>
    <n v="3"/>
    <s v="Late_Delivery"/>
    <n v="42"/>
    <n v="5"/>
    <d v="2024-09-18T00:00:00"/>
    <x v="0"/>
    <x v="4"/>
    <s v="08:49:03"/>
    <n v="676.12"/>
    <n v="158.53"/>
    <n v="634.12"/>
    <n v="792.65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6974"/>
    <d v="2024-04-25T00:00:00"/>
    <s v="01:48:02"/>
    <s v="PID018"/>
    <n v="62.42"/>
    <n v="3"/>
    <s v="FLAT8"/>
    <n v="8"/>
    <n v="4"/>
    <s v="Late_Delivery"/>
    <n v="36"/>
    <n v="7"/>
    <d v="2024-05-02T00:00:00"/>
    <x v="0"/>
    <x v="2"/>
    <s v="09:55:32"/>
    <n v="208.2792"/>
    <n v="14.980799999999999"/>
    <n v="172.2792"/>
    <n v="187.26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2701"/>
    <d v="2023-08-30T00:00:00"/>
    <s v="14:37:48"/>
    <s v="PID021"/>
    <n v="129.75"/>
    <n v="1"/>
    <s v="FLAT10"/>
    <n v="10"/>
    <n v="5"/>
    <s v="Before_time"/>
    <n v="70"/>
    <n v="4"/>
    <d v="2023-09-03T00:00:00"/>
    <x v="2"/>
    <x v="4"/>
    <s v="09:09:46"/>
    <n v="186.77500000000001"/>
    <n v="12.975"/>
    <n v="116.77500000000001"/>
    <n v="129.75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4432"/>
    <d v="2023-11-14T00:00:00"/>
    <s v="05:01:37"/>
    <s v="PID036"/>
    <n v="157.63999999999999"/>
    <n v="5"/>
    <s v="FLAT8"/>
    <n v="8"/>
    <n v="4"/>
    <s v="Before_time"/>
    <n v="53"/>
    <n v="2"/>
    <d v="2023-11-16T00:00:00"/>
    <x v="2"/>
    <x v="11"/>
    <s v="14:14:46"/>
    <n v="778.14400000000001"/>
    <n v="63.055999999999997"/>
    <n v="725.14400000000001"/>
    <n v="788.19999999999993"/>
  </r>
  <r>
    <s v="CID149"/>
    <s v="Angela Horne "/>
    <s v="Angela"/>
    <s v="Horne"/>
    <n v="49"/>
    <s v="&gt;45"/>
    <x v="2"/>
    <s v="Phoenix"/>
    <s v="angela.horne@outlook.com"/>
    <x v="0"/>
    <s v="USNV Mueller, FPO AP 54648"/>
    <s v="OID3502"/>
    <d v="2023-11-12T00:00:00"/>
    <s v="12:35:46"/>
    <s v="PID003"/>
    <n v="20.7"/>
    <n v="5"/>
    <s v="DEL0"/>
    <n v="0"/>
    <n v="2"/>
    <s v="Late_Delivery"/>
    <n v="64"/>
    <n v="6"/>
    <d v="2023-11-18T00:00:00"/>
    <x v="2"/>
    <x v="11"/>
    <s v="00:00:51"/>
    <n v="167.5"/>
    <n v="0"/>
    <n v="103.5"/>
    <n v="103.5"/>
  </r>
  <r>
    <s v="CID120"/>
    <s v="Jenny Estrada "/>
    <s v="Jenny"/>
    <s v="Estrada"/>
    <n v="45"/>
    <s v="36-45"/>
    <x v="0"/>
    <s v="Houston"/>
    <s v="jenny.estrada@yahoo.com"/>
    <x v="3"/>
    <s v="792 Carlos Islands, West David, CT 16522"/>
    <s v="OID4411"/>
    <d v="2023-09-24T00:00:00"/>
    <s v="23:34:14"/>
    <s v="PID027"/>
    <n v="481.48"/>
    <n v="2"/>
    <s v="FLAT15"/>
    <n v="15"/>
    <n v="3"/>
    <s v="On_time"/>
    <n v="50"/>
    <n v="3"/>
    <d v="2023-09-27T00:00:00"/>
    <x v="2"/>
    <x v="4"/>
    <s v="16:46:20"/>
    <n v="868.51599999999996"/>
    <n v="144.44400000000002"/>
    <n v="818.51599999999996"/>
    <n v="962.96"/>
  </r>
  <r>
    <s v="CID155"/>
    <s v="Courtney Parker "/>
    <s v="Courtney"/>
    <s v="Parker"/>
    <n v="29"/>
    <s v="26-35"/>
    <x v="2"/>
    <s v="Los Angeles"/>
    <s v="courtney.parker@yahoo.com"/>
    <x v="3"/>
    <s v="087 Jacqueline Rue Apt. 694, East Tasha, SC 04859"/>
    <s v="OID6304"/>
    <d v="2024-12-30T00:00:00"/>
    <s v="04:09:40"/>
    <s v="PID031"/>
    <n v="405"/>
    <n v="1"/>
    <s v="DEL0"/>
    <n v="0"/>
    <n v="7"/>
    <s v="Before_time"/>
    <n v="36"/>
    <n v="5"/>
    <d v="2025-01-04T00:00:00"/>
    <x v="1"/>
    <x v="5"/>
    <s v="01:56:00"/>
    <n v="441"/>
    <n v="0"/>
    <n v="405"/>
    <n v="405"/>
  </r>
  <r>
    <s v="CID121"/>
    <s v="Julie Meyer "/>
    <s v="Julie"/>
    <s v="Meyer"/>
    <n v="23"/>
    <s v="0-25"/>
    <x v="0"/>
    <s v="Phoenix"/>
    <s v="julie.meyer@yahoo.com"/>
    <x v="3"/>
    <s v="17381 Smith Ramp Suite 398, Courtneyville, AL 17756"/>
    <s v="OID5126"/>
    <d v="2024-10-09T00:00:00"/>
    <s v="04:03:43"/>
    <s v="PID037"/>
    <n v="77.84"/>
    <n v="5"/>
    <s v="DEL0"/>
    <n v="0"/>
    <n v="4"/>
    <s v="Before_time"/>
    <n v="47"/>
    <n v="1"/>
    <d v="2024-10-10T00:00:00"/>
    <x v="0"/>
    <x v="8"/>
    <s v="18:12:43"/>
    <n v="436.20000000000005"/>
    <n v="0"/>
    <n v="389.20000000000005"/>
    <n v="389.20000000000005"/>
  </r>
  <r>
    <s v="CID149"/>
    <s v="Angela Horne "/>
    <s v="Angela"/>
    <s v="Horne"/>
    <n v="49"/>
    <s v="&gt;45"/>
    <x v="2"/>
    <s v="Phoenix"/>
    <s v="angela.horne@outlook.com"/>
    <x v="0"/>
    <s v="USNV Mueller, FPO AP 54648"/>
    <s v="OID8577"/>
    <d v="2024-09-22T00:00:00"/>
    <s v="00:47:19"/>
    <s v="PID041"/>
    <n v="372.62"/>
    <n v="3"/>
    <s v="FLAT8"/>
    <n v="8"/>
    <n v="3"/>
    <s v="Late_Delivery"/>
    <n v="59"/>
    <n v="7"/>
    <d v="2024-09-29T00:00:00"/>
    <x v="0"/>
    <x v="4"/>
    <s v="11:25:58"/>
    <n v="1087.4312000000002"/>
    <n v="89.42880000000001"/>
    <n v="1028.4312000000002"/>
    <n v="1117.8600000000001"/>
  </r>
  <r>
    <s v="CID178"/>
    <s v="Amy Reid "/>
    <s v="Amy"/>
    <s v="Reid"/>
    <n v="44"/>
    <s v="36-45"/>
    <x v="1"/>
    <s v="Los Angeles"/>
    <s v="amy.reid@rediffmail.com"/>
    <x v="1"/>
    <s v="6262 Simpson Village, North Danielle, RI 76074"/>
    <s v="OID7688"/>
    <d v="2024-10-03T00:00:00"/>
    <s v="12:37:23"/>
    <s v="PID041"/>
    <n v="372.62"/>
    <n v="3"/>
    <s v="FLAT8"/>
    <n v="8"/>
    <n v="1"/>
    <s v="Late_Delivery"/>
    <n v="52"/>
    <n v="7"/>
    <d v="2024-10-10T00:00:00"/>
    <x v="0"/>
    <x v="8"/>
    <s v="09:02:09"/>
    <n v="1080.4312000000002"/>
    <n v="89.42880000000001"/>
    <n v="1028.4312000000002"/>
    <n v="1117.8600000000001"/>
  </r>
  <r>
    <s v="CID133"/>
    <s v="Donna Oneill "/>
    <s v="Donna"/>
    <s v="Oneill"/>
    <n v="70"/>
    <s v="&gt;45"/>
    <x v="0"/>
    <s v="San Francisco"/>
    <s v="donna.oneill@yahoo.com"/>
    <x v="3"/>
    <s v="464 Carolyn Crest Suite 738, Lake Isaiah, CA 66153"/>
    <s v="OID4670"/>
    <d v="2023-08-13T00:00:00"/>
    <s v="17:27:33"/>
    <s v="PID004"/>
    <n v="496.59"/>
    <n v="3"/>
    <s v="FLAT15"/>
    <n v="15"/>
    <n v="4"/>
    <s v="Before_time"/>
    <n v="49"/>
    <n v="1"/>
    <d v="2023-08-14T00:00:00"/>
    <x v="2"/>
    <x v="10"/>
    <s v="15:28:39"/>
    <n v="1315.3045"/>
    <n v="223.46549999999999"/>
    <n v="1266.3045"/>
    <n v="1489.77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3319"/>
    <d v="2023-04-04T00:00:00"/>
    <s v="01:59:03"/>
    <s v="PID021"/>
    <n v="129.75"/>
    <n v="1"/>
    <s v="FLAT10"/>
    <n v="10"/>
    <n v="6"/>
    <s v="On_time"/>
    <n v="43"/>
    <n v="6"/>
    <d v="2023-04-10T00:00:00"/>
    <x v="2"/>
    <x v="3"/>
    <s v="12:37:05"/>
    <n v="159.77500000000001"/>
    <n v="12.975"/>
    <n v="116.77500000000001"/>
    <n v="129.75"/>
  </r>
  <r>
    <s v="CID132"/>
    <s v="Timothy Hicks "/>
    <s v="Timothy"/>
    <s v="Hicks"/>
    <n v="31"/>
    <s v="26-35"/>
    <x v="2"/>
    <s v="Miami"/>
    <s v="timothy.hicks@gmail.com"/>
    <x v="2"/>
    <s v="140 Tracy Fields, Lake Cynthiaton, TX 57190"/>
    <s v="OID6911"/>
    <d v="2024-02-14T00:00:00"/>
    <s v="21:46:52"/>
    <s v="PID047"/>
    <n v="190.1"/>
    <n v="5"/>
    <s v="FLAT8"/>
    <n v="8"/>
    <n v="5"/>
    <s v="On_time"/>
    <n v="35"/>
    <n v="5"/>
    <d v="2024-02-19T00:00:00"/>
    <x v="0"/>
    <x v="1"/>
    <s v="16:09:29"/>
    <n v="909.46"/>
    <n v="76.040000000000006"/>
    <n v="874.46"/>
    <n v="950.5"/>
  </r>
  <r>
    <s v="CID180"/>
    <s v="Thomas Andersen "/>
    <s v="Thomas"/>
    <s v="Andersen"/>
    <n v="50"/>
    <s v="&gt;45"/>
    <x v="2"/>
    <s v="Miami"/>
    <s v="thomas.andersen@yahoo.com"/>
    <x v="3"/>
    <s v="480 Summers Lock Suite 819, Sarahborough, IA 59863"/>
    <s v="OID8494"/>
    <d v="2023-03-02T00:00:00"/>
    <s v="18:49:59"/>
    <s v="PID047"/>
    <n v="190.1"/>
    <n v="1"/>
    <s v="FLAT20"/>
    <n v="20"/>
    <n v="4"/>
    <s v="Late_Delivery"/>
    <n v="63"/>
    <n v="5"/>
    <d v="2023-03-07T00:00:00"/>
    <x v="2"/>
    <x v="0"/>
    <s v="00:31:21"/>
    <n v="215.08"/>
    <n v="38.020000000000003"/>
    <n v="152.08000000000001"/>
    <n v="190.1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6898"/>
    <d v="2024-01-22T00:00:00"/>
    <s v="22:08:17"/>
    <s v="PID020"/>
    <n v="431.44"/>
    <n v="5"/>
    <s v="FLAT8"/>
    <n v="8"/>
    <n v="2"/>
    <s v="Late_Delivery"/>
    <n v="57"/>
    <n v="5"/>
    <d v="2024-01-27T00:00:00"/>
    <x v="0"/>
    <x v="5"/>
    <s v="06:23:07"/>
    <n v="2041.624"/>
    <n v="172.57599999999999"/>
    <n v="1984.624"/>
    <n v="2157.1999999999998"/>
  </r>
  <r>
    <s v="CID184"/>
    <s v="Aaron Thompson "/>
    <s v="Aaron"/>
    <s v="Thompson"/>
    <n v="47"/>
    <s v="&gt;45"/>
    <x v="1"/>
    <s v="Los Angeles"/>
    <s v="aaron.thompson@gmail.com"/>
    <x v="2"/>
    <s v="PSC 0550, Box 2737, APO AE 75772"/>
    <s v="OID7606"/>
    <d v="2023-05-08T00:00:00"/>
    <s v="19:20:51"/>
    <s v="PID036"/>
    <n v="157.63999999999999"/>
    <n v="4"/>
    <s v="FLAT8"/>
    <n v="8"/>
    <n v="4"/>
    <s v="Late_Delivery"/>
    <n v="44"/>
    <n v="7"/>
    <d v="2023-05-15T00:00:00"/>
    <x v="2"/>
    <x v="2"/>
    <s v="07:23:46"/>
    <n v="624.11519999999996"/>
    <n v="50.444799999999994"/>
    <n v="580.11519999999996"/>
    <n v="630.55999999999995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6503"/>
    <d v="2024-11-24T00:00:00"/>
    <s v="00:57:17"/>
    <s v="PID015"/>
    <n v="166.28"/>
    <n v="4"/>
    <s v="DEL0"/>
    <n v="0"/>
    <n v="3"/>
    <s v="Late_Delivery"/>
    <n v="41"/>
    <n v="6"/>
    <d v="2024-11-30T00:00:00"/>
    <x v="0"/>
    <x v="11"/>
    <s v="09:51:58"/>
    <n v="706.12"/>
    <n v="0"/>
    <n v="665.12"/>
    <n v="665.12"/>
  </r>
  <r>
    <s v="CID181"/>
    <s v="Alexandra Smith "/>
    <s v="Alexandra"/>
    <s v="Smith"/>
    <n v="70"/>
    <s v="&gt;45"/>
    <x v="0"/>
    <s v="Phoenix"/>
    <s v="alexandra.smith@rediffmail.com"/>
    <x v="1"/>
    <s v="48611 Clark Village, West Anne, GA 92865"/>
    <s v="OID3616"/>
    <d v="2024-09-10T00:00:00"/>
    <s v="04:25:34"/>
    <s v="PID003"/>
    <n v="20.7"/>
    <n v="2"/>
    <s v="FLAT10"/>
    <n v="10"/>
    <n v="2"/>
    <s v="On_time"/>
    <n v="50"/>
    <n v="2"/>
    <d v="2024-09-12T00:00:00"/>
    <x v="0"/>
    <x v="4"/>
    <s v="00:47:31"/>
    <n v="87.259999999999991"/>
    <n v="4.1399999999999997"/>
    <n v="37.26"/>
    <n v="41.4"/>
  </r>
  <r>
    <s v="CID133"/>
    <s v="Donna Oneill "/>
    <s v="Donna"/>
    <s v="Oneill"/>
    <n v="70"/>
    <s v="&gt;45"/>
    <x v="0"/>
    <s v="San Francisco"/>
    <s v="donna.oneill@yahoo.com"/>
    <x v="3"/>
    <s v="464 Carolyn Crest Suite 738, Lake Isaiah, CA 66153"/>
    <s v="OID2170"/>
    <d v="2023-10-25T00:00:00"/>
    <s v="07:52:23"/>
    <s v="PID021"/>
    <n v="129.75"/>
    <n v="2"/>
    <s v="FLAT20"/>
    <n v="20"/>
    <n v="5"/>
    <s v="Before_time"/>
    <n v="42"/>
    <n v="3"/>
    <d v="2023-10-28T00:00:00"/>
    <x v="2"/>
    <x v="8"/>
    <s v="17:14:10"/>
    <n v="249.60000000000002"/>
    <n v="51.9"/>
    <n v="207.60000000000002"/>
    <n v="259.5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1956"/>
    <d v="2024-03-14T00:00:00"/>
    <s v="15:34:34"/>
    <s v="PID010"/>
    <n v="44.5"/>
    <n v="4"/>
    <s v="FLAT8"/>
    <n v="8"/>
    <n v="2"/>
    <s v="Late_Delivery"/>
    <n v="40"/>
    <n v="3"/>
    <d v="2024-03-17T00:00:00"/>
    <x v="0"/>
    <x v="0"/>
    <s v="01:12:58"/>
    <n v="203.76000000000002"/>
    <n v="14.24"/>
    <n v="163.76000000000002"/>
    <n v="178"/>
  </r>
  <r>
    <s v="CID135"/>
    <s v="Amanda Howard "/>
    <s v="Amanda"/>
    <s v="Howard"/>
    <n v="52"/>
    <s v="&gt;45"/>
    <x v="2"/>
    <s v="Dallas"/>
    <s v="amanda.howard@outlook.com"/>
    <x v="0"/>
    <s v="56908 Sydney Park Suite 632, West Anthonyport, NC 15954"/>
    <s v="OID8620"/>
    <d v="2023-08-07T00:00:00"/>
    <s v="01:45:28"/>
    <s v="PID026"/>
    <n v="128.13999999999999"/>
    <n v="5"/>
    <s v="FLAT15"/>
    <n v="15"/>
    <n v="2"/>
    <s v="On_time"/>
    <n v="57"/>
    <n v="2"/>
    <d v="2023-08-09T00:00:00"/>
    <x v="2"/>
    <x v="10"/>
    <s v="07:09:53"/>
    <n v="601.59499999999991"/>
    <n v="96.104999999999976"/>
    <n v="544.59499999999991"/>
    <n v="640.69999999999993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4770"/>
    <d v="2024-01-21T00:00:00"/>
    <s v="12:30:02"/>
    <s v="PID001"/>
    <n v="369.03"/>
    <n v="2"/>
    <s v="FLAT10"/>
    <n v="10"/>
    <n v="4"/>
    <s v="Late_Delivery"/>
    <n v="46"/>
    <n v="6"/>
    <d v="2024-01-27T00:00:00"/>
    <x v="0"/>
    <x v="5"/>
    <s v="07:53:31"/>
    <n v="710.25400000000002"/>
    <n v="73.805999999999997"/>
    <n v="664.25400000000002"/>
    <n v="738.06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9880"/>
    <d v="2024-11-03T00:00:00"/>
    <s v="04:32:42"/>
    <s v="PID046"/>
    <n v="363.64"/>
    <n v="1"/>
    <s v="FLAT10"/>
    <n v="10"/>
    <n v="3"/>
    <s v="Late_Delivery"/>
    <n v="70"/>
    <n v="7"/>
    <d v="2024-11-10T00:00:00"/>
    <x v="0"/>
    <x v="11"/>
    <s v="08:48:02"/>
    <n v="397.27600000000001"/>
    <n v="36.363999999999997"/>
    <n v="327.27600000000001"/>
    <n v="363.64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2152"/>
    <d v="2023-10-30T00:00:00"/>
    <s v="14:13:38"/>
    <s v="PID031"/>
    <n v="405"/>
    <n v="1"/>
    <s v="DEL0"/>
    <n v="0"/>
    <n v="5"/>
    <s v="Before_time"/>
    <n v="44"/>
    <n v="4"/>
    <d v="2023-11-03T00:00:00"/>
    <x v="2"/>
    <x v="11"/>
    <s v="16:08:19"/>
    <n v="449"/>
    <n v="0"/>
    <n v="405"/>
    <n v="405"/>
  </r>
  <r>
    <s v="CID126"/>
    <s v="Marcus Rogers "/>
    <s v="Marcus"/>
    <s v="Rogers"/>
    <n v="36"/>
    <s v="36-45"/>
    <x v="1"/>
    <s v="Phoenix"/>
    <s v="marcus.rogers@outlook.com"/>
    <x v="0"/>
    <s v="06912 Brown Pine Apt. 763, Teresamouth, HI 24377"/>
    <s v="OID2991"/>
    <d v="2023-08-11T00:00:00"/>
    <s v="02:09:48"/>
    <s v="PID018"/>
    <n v="62.42"/>
    <n v="2"/>
    <s v="FLAT15"/>
    <n v="15"/>
    <n v="1"/>
    <s v="Late_Delivery"/>
    <n v="53"/>
    <n v="5"/>
    <d v="2023-08-16T00:00:00"/>
    <x v="2"/>
    <x v="10"/>
    <s v="03:08:52"/>
    <n v="159.114"/>
    <n v="18.726000000000003"/>
    <n v="106.114"/>
    <n v="124.84"/>
  </r>
  <r>
    <s v="CID111"/>
    <s v="Brian Kennedy "/>
    <s v="Brian"/>
    <s v="Kennedy"/>
    <n v="69"/>
    <s v="&gt;45"/>
    <x v="0"/>
    <s v="Phoenix"/>
    <s v="brian.kennedy@outlook.com"/>
    <x v="0"/>
    <s v="25126 Nancy Fort Suite 568, Alexandrachester, AZ 44823"/>
    <s v="OID5607"/>
    <d v="2023-10-14T00:00:00"/>
    <s v="16:10:50"/>
    <s v="PID003"/>
    <n v="20.7"/>
    <n v="5"/>
    <s v="FLAT15"/>
    <n v="15"/>
    <n v="7"/>
    <s v="Before_time"/>
    <n v="57"/>
    <n v="5"/>
    <d v="2023-10-19T00:00:00"/>
    <x v="2"/>
    <x v="8"/>
    <s v="15:21:29"/>
    <n v="144.97499999999999"/>
    <n v="15.525"/>
    <n v="87.974999999999994"/>
    <n v="103.5"/>
  </r>
  <r>
    <s v="CID129"/>
    <s v="Rebecca Figueroa "/>
    <s v="Rebecca"/>
    <s v="Figueroa"/>
    <n v="63"/>
    <s v="&gt;45"/>
    <x v="0"/>
    <s v="Miami"/>
    <s v="rebecca.figueroa@outlook.com"/>
    <x v="0"/>
    <s v="3959 Bell Dale, North Jacob, LA 07934"/>
    <s v="OID8169"/>
    <d v="2024-12-29T00:00:00"/>
    <s v="09:43:27"/>
    <s v="PID046"/>
    <n v="363.64"/>
    <n v="3"/>
    <s v="FLAT10"/>
    <n v="10"/>
    <n v="6"/>
    <s v="Late_Delivery"/>
    <n v="69"/>
    <n v="7"/>
    <d v="2025-01-05T00:00:00"/>
    <x v="1"/>
    <x v="5"/>
    <s v="00:00:42"/>
    <n v="1050.828"/>
    <n v="109.09200000000001"/>
    <n v="981.82800000000009"/>
    <n v="1090.92"/>
  </r>
  <r>
    <s v="CID199"/>
    <s v="Lori Cook "/>
    <s v="Lori"/>
    <s v="Cook"/>
    <n v="18"/>
    <s v="0-25"/>
    <x v="1"/>
    <s v="Houston"/>
    <s v="lori.cook@rediffmail.com"/>
    <x v="1"/>
    <s v="86837 Bell Meadows, North Jasonshire, UT 51354"/>
    <s v="OID5832"/>
    <d v="2023-02-15T00:00:00"/>
    <s v="02:34:25"/>
    <s v="PID019"/>
    <n v="286.07"/>
    <n v="3"/>
    <s v="FLAT20"/>
    <n v="20"/>
    <n v="2"/>
    <s v="Late_Delivery"/>
    <n v="54"/>
    <n v="5"/>
    <d v="2023-02-20T00:00:00"/>
    <x v="2"/>
    <x v="1"/>
    <s v="13:09:47"/>
    <n v="740.5680000000001"/>
    <n v="171.642"/>
    <n v="686.5680000000001"/>
    <n v="858.21"/>
  </r>
  <r>
    <s v="CID134"/>
    <s v="Debra Hayes "/>
    <s v="Debra"/>
    <s v="Hayes"/>
    <n v="33"/>
    <s v="26-35"/>
    <x v="0"/>
    <s v="San Francisco"/>
    <s v="debra.hayes@yahoo.com"/>
    <x v="3"/>
    <s v="4601 Miller Lock, Williamsbury, IA 10943"/>
    <s v="OID7806"/>
    <d v="2024-05-23T00:00:00"/>
    <s v="02:46:19"/>
    <s v="PID009"/>
    <n v="87.09"/>
    <n v="4"/>
    <s v="DEL0"/>
    <n v="0"/>
    <n v="6"/>
    <s v="Before_time"/>
    <n v="63"/>
    <n v="4"/>
    <d v="2024-05-27T00:00:00"/>
    <x v="0"/>
    <x v="2"/>
    <s v="20:00:32"/>
    <n v="411.36"/>
    <n v="0"/>
    <n v="348.36"/>
    <n v="348.36"/>
  </r>
  <r>
    <s v="CID136"/>
    <s v="Brittany Stewart "/>
    <s v="Brittany"/>
    <s v="Stewart"/>
    <n v="68"/>
    <s v="&gt;45"/>
    <x v="2"/>
    <s v="Dallas"/>
    <s v="brittany.stewart@gmail.com"/>
    <x v="2"/>
    <s v="6250 David Loaf Suite 561, North Pamelaberg, WV 63652"/>
    <s v="OID4875"/>
    <d v="2023-03-17T00:00:00"/>
    <s v="18:25:37"/>
    <s v="PID034"/>
    <n v="275.44"/>
    <n v="4"/>
    <s v="FLAT8"/>
    <n v="8"/>
    <n v="4"/>
    <s v="Late_Delivery"/>
    <n v="40"/>
    <n v="5"/>
    <d v="2023-03-22T00:00:00"/>
    <x v="2"/>
    <x v="0"/>
    <s v="15:52:25"/>
    <n v="1053.6192000000001"/>
    <n v="88.140799999999999"/>
    <n v="1013.6192000000001"/>
    <n v="1101.76"/>
  </r>
  <r>
    <s v="CID153"/>
    <s v="Mitchell Parker "/>
    <s v="Mitchell"/>
    <s v="Parker"/>
    <n v="39"/>
    <s v="36-45"/>
    <x v="2"/>
    <s v="Houston"/>
    <s v="mitchell.parker@yahoo.com"/>
    <x v="3"/>
    <s v="PSC 3316, Box 9303, APO AE 29513"/>
    <s v="OID4070"/>
    <d v="2025-01-23T00:00:00"/>
    <s v="19:18:19"/>
    <s v="PID038"/>
    <n v="421.7"/>
    <n v="1"/>
    <s v="FLAT10"/>
    <n v="10"/>
    <n v="3"/>
    <s v="Late_Delivery"/>
    <n v="59"/>
    <n v="4"/>
    <d v="2025-01-27T00:00:00"/>
    <x v="1"/>
    <x v="5"/>
    <s v="02:44:55"/>
    <n v="438.53"/>
    <n v="42.17"/>
    <n v="379.53"/>
    <n v="421.7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7679"/>
    <d v="2024-12-03T00:00:00"/>
    <s v="09:15:50"/>
    <s v="PID014"/>
    <n v="272.51"/>
    <n v="1"/>
    <s v="FLAT20"/>
    <n v="20"/>
    <n v="4"/>
    <s v="Before_time"/>
    <n v="43"/>
    <n v="1"/>
    <d v="2024-12-04T00:00:00"/>
    <x v="0"/>
    <x v="7"/>
    <s v="09:05:06"/>
    <n v="261.00800000000004"/>
    <n v="54.501999999999995"/>
    <n v="218.00800000000001"/>
    <n v="272.51"/>
  </r>
  <r>
    <s v="CID100"/>
    <s v="Sharon Thompson "/>
    <s v="Sharon"/>
    <s v="Thompson"/>
    <n v="57"/>
    <s v="&gt;45"/>
    <x v="1"/>
    <s v="Dallas"/>
    <s v="sharon.thompson@yahoo.com"/>
    <x v="3"/>
    <s v="598 Jasmine Harbor, Turnerberg, SD 02371"/>
    <s v="OID3097"/>
    <d v="2024-02-24T00:00:00"/>
    <s v="02:51:35"/>
    <s v="PID042"/>
    <n v="175.93"/>
    <n v="3"/>
    <s v="FLAT8"/>
    <n v="8"/>
    <n v="4"/>
    <s v="Late_Delivery"/>
    <n v="46"/>
    <n v="5"/>
    <d v="2024-02-29T00:00:00"/>
    <x v="0"/>
    <x v="1"/>
    <s v="05:56:26"/>
    <n v="531.56680000000006"/>
    <n v="42.223199999999999"/>
    <n v="485.5668"/>
    <n v="527.79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8869"/>
    <d v="2024-07-30T00:00:00"/>
    <s v="20:59:40"/>
    <s v="PID048"/>
    <n v="136.30000000000001"/>
    <n v="5"/>
    <s v="FLAT15"/>
    <n v="15"/>
    <n v="6"/>
    <s v="Late_Delivery"/>
    <n v="39"/>
    <n v="7"/>
    <d v="2024-08-06T00:00:00"/>
    <x v="0"/>
    <x v="10"/>
    <s v="23:33:51"/>
    <n v="618.27499999999998"/>
    <n v="102.22499999999999"/>
    <n v="579.27499999999998"/>
    <n v="681.5"/>
  </r>
  <r>
    <s v="CID193"/>
    <s v="Ashley Rose "/>
    <s v="Ashley"/>
    <s v="Rose"/>
    <n v="60"/>
    <s v="&gt;45"/>
    <x v="2"/>
    <s v="Phoenix"/>
    <s v="ashley.rose@gmail.com"/>
    <x v="2"/>
    <s v="424 Nichols Curve Suite 177, Lake Brianview, TX 17289"/>
    <s v="OID2686"/>
    <d v="2024-06-08T00:00:00"/>
    <s v="17:00:22"/>
    <s v="PID049"/>
    <n v="441.03"/>
    <n v="2"/>
    <s v="FLAT10"/>
    <n v="10"/>
    <n v="3"/>
    <s v="Late_Delivery"/>
    <n v="49"/>
    <n v="7"/>
    <d v="2024-06-15T00:00:00"/>
    <x v="0"/>
    <x v="6"/>
    <s v="12:18:47"/>
    <n v="842.85399999999993"/>
    <n v="88.205999999999989"/>
    <n v="793.85399999999993"/>
    <n v="882.06"/>
  </r>
  <r>
    <s v="CID175"/>
    <s v="Katherine Weber "/>
    <s v="Katherine"/>
    <s v="Weber"/>
    <n v="42"/>
    <s v="36-45"/>
    <x v="2"/>
    <s v="New York"/>
    <s v="katherine.weber@outlook.com"/>
    <x v="0"/>
    <s v="04887 Kimberly Union Apt. 645, Port Laura, IL 97219"/>
    <s v="OID1046"/>
    <d v="2024-01-31T00:00:00"/>
    <s v="22:51:56"/>
    <s v="PID001"/>
    <n v="369.03"/>
    <n v="4"/>
    <s v="FLAT20"/>
    <n v="20"/>
    <n v="7"/>
    <s v="Before_time"/>
    <n v="52"/>
    <n v="5"/>
    <d v="2024-02-05T00:00:00"/>
    <x v="0"/>
    <x v="1"/>
    <s v="07:24:20"/>
    <n v="1232.896"/>
    <n v="295.22399999999999"/>
    <n v="1180.896"/>
    <n v="1476.12"/>
  </r>
  <r>
    <s v="CID103"/>
    <s v="Jason Nguyen "/>
    <s v="Jason"/>
    <s v="Nguyen"/>
    <n v="51"/>
    <s v="&gt;45"/>
    <x v="2"/>
    <s v="Miami"/>
    <s v="jason.nguyen@yahoo.com"/>
    <x v="3"/>
    <s v="7112 Travis Glens Suite 790, Crystalland, WV 38373"/>
    <s v="OID8953"/>
    <d v="2023-12-17T00:00:00"/>
    <s v="12:19:34"/>
    <s v="PID004"/>
    <n v="496.59"/>
    <n v="4"/>
    <s v="FLAT15"/>
    <n v="15"/>
    <n v="7"/>
    <s v="Before_time"/>
    <n v="36"/>
    <n v="3"/>
    <d v="2023-12-20T00:00:00"/>
    <x v="2"/>
    <x v="7"/>
    <s v="10:04:54"/>
    <n v="1724.4059999999999"/>
    <n v="297.95399999999995"/>
    <n v="1688.4059999999999"/>
    <n v="1986.36"/>
  </r>
  <r>
    <s v="CID192"/>
    <s v="Brandon Cruz "/>
    <s v="Brandon"/>
    <s v="Cruz"/>
    <n v="32"/>
    <s v="26-35"/>
    <x v="2"/>
    <s v="Los Angeles"/>
    <s v="brandon.cruz@gmail.com"/>
    <x v="2"/>
    <s v="9296 Villanueva Branch, East Kevin, CO 93912"/>
    <s v="OID1157"/>
    <d v="2024-10-21T00:00:00"/>
    <s v="15:26:04"/>
    <s v="PID004"/>
    <n v="496.59"/>
    <n v="2"/>
    <s v="FLAT8"/>
    <n v="8"/>
    <n v="5"/>
    <s v="Before_time"/>
    <n v="41"/>
    <n v="2"/>
    <d v="2024-10-23T00:00:00"/>
    <x v="0"/>
    <x v="8"/>
    <s v="08:17:58"/>
    <n v="954.72559999999999"/>
    <n v="79.454399999999993"/>
    <n v="913.72559999999999"/>
    <n v="993.18"/>
  </r>
  <r>
    <s v="CID186"/>
    <s v="Anne Oconnell "/>
    <s v="Anne"/>
    <s v="Oconnell"/>
    <n v="37"/>
    <s v="36-45"/>
    <x v="0"/>
    <s v="Phoenix"/>
    <s v="anne.oconnell@outlook.com"/>
    <x v="0"/>
    <s v="2850 Matthew Ford, North Yolandachester, FL 67488"/>
    <s v="OID7358"/>
    <d v="2024-10-02T00:00:00"/>
    <s v="19:49:32"/>
    <s v="PID022"/>
    <n v="308.88"/>
    <n v="1"/>
    <s v="DEL0"/>
    <n v="0"/>
    <n v="6"/>
    <s v="Before_time"/>
    <n v="62"/>
    <n v="2"/>
    <d v="2024-10-04T00:00:00"/>
    <x v="0"/>
    <x v="8"/>
    <s v="22:41:33"/>
    <n v="370.88"/>
    <n v="0"/>
    <n v="308.88"/>
    <n v="308.88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7453"/>
    <d v="2024-07-22T00:00:00"/>
    <s v="21:08:59"/>
    <s v="PID017"/>
    <n v="425.59"/>
    <n v="4"/>
    <s v="DEL0"/>
    <n v="0"/>
    <n v="6"/>
    <s v="Before_time"/>
    <n v="53"/>
    <n v="1"/>
    <d v="2024-07-23T00:00:00"/>
    <x v="0"/>
    <x v="9"/>
    <s v="10:39:08"/>
    <n v="1755.36"/>
    <n v="0"/>
    <n v="1702.36"/>
    <n v="1702.36"/>
  </r>
  <r>
    <s v="CID163"/>
    <s v="Mark Henderson "/>
    <s v="Mark"/>
    <s v="Henderson"/>
    <n v="33"/>
    <s v="26-35"/>
    <x v="2"/>
    <s v="Dallas"/>
    <s v="mark.henderson@yahoo.com"/>
    <x v="3"/>
    <s v="90155 Hines Spring, North Theresafurt, ME 31920"/>
    <s v="OID1573"/>
    <d v="2024-03-04T00:00:00"/>
    <s v="05:40:38"/>
    <s v="PID022"/>
    <n v="308.88"/>
    <n v="1"/>
    <s v="FLAT10"/>
    <n v="10"/>
    <n v="1"/>
    <s v="Late_Delivery"/>
    <n v="56"/>
    <n v="5"/>
    <d v="2024-03-09T00:00:00"/>
    <x v="0"/>
    <x v="0"/>
    <s v="05:38:59"/>
    <n v="333.99200000000002"/>
    <n v="30.888000000000002"/>
    <n v="277.99200000000002"/>
    <n v="308.88"/>
  </r>
  <r>
    <s v="CID111"/>
    <s v="Brian Kennedy "/>
    <s v="Brian"/>
    <s v="Kennedy"/>
    <n v="69"/>
    <s v="&gt;45"/>
    <x v="0"/>
    <s v="Phoenix"/>
    <s v="brian.kennedy@outlook.com"/>
    <x v="0"/>
    <s v="25126 Nancy Fort Suite 568, Alexandrachester, AZ 44823"/>
    <s v="OID5696"/>
    <d v="2023-07-25T00:00:00"/>
    <s v="17:56:01"/>
    <s v="PID020"/>
    <n v="431.44"/>
    <n v="5"/>
    <s v="FLAT15"/>
    <n v="15"/>
    <n v="6"/>
    <s v="Late_Delivery"/>
    <n v="59"/>
    <n v="7"/>
    <d v="2023-08-01T00:00:00"/>
    <x v="2"/>
    <x v="10"/>
    <s v="15:52:42"/>
    <n v="1892.62"/>
    <n v="323.58"/>
    <n v="1833.62"/>
    <n v="2157.1999999999998"/>
  </r>
  <r>
    <s v="CID111"/>
    <s v="Brian Kennedy "/>
    <s v="Brian"/>
    <s v="Kennedy"/>
    <n v="69"/>
    <s v="&gt;45"/>
    <x v="0"/>
    <s v="Phoenix"/>
    <s v="brian.kennedy@outlook.com"/>
    <x v="0"/>
    <s v="25126 Nancy Fort Suite 568, Alexandrachester, AZ 44823"/>
    <s v="OID3467"/>
    <d v="2024-12-24T00:00:00"/>
    <s v="23:34:28"/>
    <s v="PID016"/>
    <n v="133.62"/>
    <n v="2"/>
    <s v="FLAT10"/>
    <n v="10"/>
    <n v="4"/>
    <s v="Before_time"/>
    <n v="50"/>
    <n v="1"/>
    <d v="2024-12-25T00:00:00"/>
    <x v="0"/>
    <x v="7"/>
    <s v="02:05:20"/>
    <n v="290.51600000000002"/>
    <n v="26.724"/>
    <n v="240.51600000000002"/>
    <n v="267.24"/>
  </r>
  <r>
    <s v="CID108"/>
    <s v="Teresa Harvey "/>
    <s v="Teresa"/>
    <s v="Harvey"/>
    <n v="64"/>
    <s v="&gt;45"/>
    <x v="2"/>
    <s v="Phoenix"/>
    <s v="teresa.harvey@gmail.com"/>
    <x v="2"/>
    <s v="02669 Kirk Squares, Davisville, VA 51272"/>
    <s v="OID8542"/>
    <d v="2024-06-16T00:00:00"/>
    <s v="03:04:26"/>
    <s v="PID046"/>
    <n v="363.64"/>
    <n v="3"/>
    <s v="DEL0"/>
    <n v="0"/>
    <n v="7"/>
    <s v="Before_time"/>
    <n v="41"/>
    <n v="2"/>
    <d v="2024-06-18T00:00:00"/>
    <x v="0"/>
    <x v="6"/>
    <s v="16:05:07"/>
    <n v="1131.92"/>
    <n v="0"/>
    <n v="1090.92"/>
    <n v="1090.92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1520"/>
    <d v="2023-04-25T00:00:00"/>
    <s v="04:27:04"/>
    <s v="PID026"/>
    <n v="128.13999999999999"/>
    <n v="1"/>
    <s v="FLAT8"/>
    <n v="8"/>
    <n v="7"/>
    <s v="Before_time"/>
    <n v="70"/>
    <n v="4"/>
    <d v="2023-04-29T00:00:00"/>
    <x v="2"/>
    <x v="3"/>
    <s v="07:38:34"/>
    <n v="187.8888"/>
    <n v="10.251199999999999"/>
    <n v="117.88879999999999"/>
    <n v="128.13999999999999"/>
  </r>
  <r>
    <s v="CID184"/>
    <s v="Aaron Thompson "/>
    <s v="Aaron"/>
    <s v="Thompson"/>
    <n v="47"/>
    <s v="&gt;45"/>
    <x v="1"/>
    <s v="Los Angeles"/>
    <s v="aaron.thompson@gmail.com"/>
    <x v="2"/>
    <s v="PSC 0550, Box 2737, APO AE 75772"/>
    <s v="OID2157"/>
    <d v="2025-01-26T00:00:00"/>
    <s v="23:24:39"/>
    <s v="PID006"/>
    <n v="477.52"/>
    <n v="2"/>
    <s v="FLAT8"/>
    <n v="8"/>
    <n v="6"/>
    <s v="Before_time"/>
    <n v="55"/>
    <n v="2"/>
    <d v="2025-01-28T00:00:00"/>
    <x v="1"/>
    <x v="5"/>
    <s v="01:07:36"/>
    <n v="933.63679999999999"/>
    <n v="76.403199999999998"/>
    <n v="878.63679999999999"/>
    <n v="955.04"/>
  </r>
  <r>
    <s v="CID145"/>
    <s v="Ashley Romero "/>
    <s v="Ashley"/>
    <s v="Romero"/>
    <n v="35"/>
    <s v="26-35"/>
    <x v="0"/>
    <s v="Phoenix"/>
    <s v="ashley.romero@yahoo.com"/>
    <x v="3"/>
    <s v="547 Kerry Expressway, Lake Amanda, AR 20321"/>
    <s v="OID6374"/>
    <d v="2023-05-08T00:00:00"/>
    <s v="18:54:33"/>
    <s v="PID028"/>
    <n v="126.19"/>
    <n v="3"/>
    <s v="DEL0"/>
    <n v="0"/>
    <n v="5"/>
    <s v="Before_time"/>
    <n v="40"/>
    <n v="4"/>
    <d v="2023-05-12T00:00:00"/>
    <x v="2"/>
    <x v="2"/>
    <s v="16:14:09"/>
    <n v="418.57"/>
    <n v="0"/>
    <n v="378.57"/>
    <n v="378.57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6555"/>
    <d v="2024-05-31T00:00:00"/>
    <s v="10:55:08"/>
    <s v="PID027"/>
    <n v="481.48"/>
    <n v="4"/>
    <s v="FLAT10"/>
    <n v="10"/>
    <n v="1"/>
    <s v="Late_Delivery"/>
    <n v="36"/>
    <n v="4"/>
    <d v="2024-06-04T00:00:00"/>
    <x v="0"/>
    <x v="6"/>
    <s v="10:56:05"/>
    <n v="1769.3280000000002"/>
    <n v="192.59200000000001"/>
    <n v="1733.3280000000002"/>
    <n v="1925.92"/>
  </r>
  <r>
    <s v="CID134"/>
    <s v="Debra Hayes "/>
    <s v="Debra"/>
    <s v="Hayes"/>
    <n v="33"/>
    <s v="26-35"/>
    <x v="0"/>
    <s v="San Francisco"/>
    <s v="debra.hayes@yahoo.com"/>
    <x v="3"/>
    <s v="4601 Miller Lock, Williamsbury, IA 10943"/>
    <s v="OID5850"/>
    <d v="2025-01-18T00:00:00"/>
    <s v="19:40:45"/>
    <s v="PID022"/>
    <n v="308.88"/>
    <n v="3"/>
    <s v="FLAT15"/>
    <n v="15"/>
    <n v="4"/>
    <s v="Before_time"/>
    <n v="48"/>
    <n v="3"/>
    <d v="2025-01-21T00:00:00"/>
    <x v="1"/>
    <x v="5"/>
    <s v="20:24:13"/>
    <n v="835.64400000000001"/>
    <n v="138.99600000000001"/>
    <n v="787.64400000000001"/>
    <n v="926.64"/>
  </r>
  <r>
    <s v="CID179"/>
    <s v="Christian Clayton "/>
    <s v="Christian"/>
    <s v="Clayton"/>
    <n v="39"/>
    <s v="36-45"/>
    <x v="1"/>
    <s v="Chicago"/>
    <s v="christian.clayton@yahoo.com"/>
    <x v="3"/>
    <s v="065 Madison Way, Smithstad, CT 68011"/>
    <s v="OID8041"/>
    <d v="2024-08-21T00:00:00"/>
    <s v="02:08:49"/>
    <s v="PID025"/>
    <n v="403.03"/>
    <n v="1"/>
    <s v="FLAT20"/>
    <n v="20"/>
    <n v="3"/>
    <s v="Before_time"/>
    <n v="52"/>
    <n v="1"/>
    <d v="2024-08-22T00:00:00"/>
    <x v="0"/>
    <x v="10"/>
    <s v="15:38:07"/>
    <n v="374.42399999999998"/>
    <n v="80.605999999999995"/>
    <n v="322.42399999999998"/>
    <n v="403.03"/>
  </r>
  <r>
    <s v="CID144"/>
    <s v="William Mann "/>
    <s v="William"/>
    <s v="Mann"/>
    <n v="21"/>
    <s v="0-25"/>
    <x v="0"/>
    <s v="Houston"/>
    <s v="william.mann@yahoo.com"/>
    <x v="3"/>
    <s v="849 Tran Wells, New Lindsayville, WI 22669"/>
    <s v="OID5605"/>
    <d v="2023-04-25T00:00:00"/>
    <s v="01:05:15"/>
    <s v="PID043"/>
    <n v="330.11"/>
    <n v="2"/>
    <s v="FLAT8"/>
    <n v="8"/>
    <n v="3"/>
    <s v="Late_Delivery"/>
    <n v="64"/>
    <n v="5"/>
    <d v="2023-04-30T00:00:00"/>
    <x v="2"/>
    <x v="3"/>
    <s v="13:48:26"/>
    <n v="671.40240000000006"/>
    <n v="52.817599999999999"/>
    <n v="607.40240000000006"/>
    <n v="660.22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8388"/>
    <d v="2024-01-31T00:00:00"/>
    <s v="04:27:02"/>
    <s v="PID018"/>
    <n v="62.42"/>
    <n v="1"/>
    <s v="FLAT20"/>
    <n v="20"/>
    <n v="6"/>
    <s v="Late_Delivery"/>
    <n v="53"/>
    <n v="7"/>
    <d v="2024-02-07T00:00:00"/>
    <x v="0"/>
    <x v="1"/>
    <s v="09:07:52"/>
    <n v="102.93600000000001"/>
    <n v="12.484000000000002"/>
    <n v="49.936000000000007"/>
    <n v="62.42"/>
  </r>
  <r>
    <s v="CID125"/>
    <s v="Kelli Smith "/>
    <s v="Kelli"/>
    <s v="Smith"/>
    <n v="18"/>
    <s v="0-25"/>
    <x v="1"/>
    <s v="Houston"/>
    <s v="kelli.smith@rediffmail.com"/>
    <x v="1"/>
    <s v="788 Kristina Lane, Montoyaside, VA 90756"/>
    <s v="OID5787"/>
    <d v="2024-11-29T00:00:00"/>
    <s v="15:22:10"/>
    <s v="PID043"/>
    <n v="330.11"/>
    <n v="1"/>
    <s v="FLAT20"/>
    <n v="20"/>
    <n v="4"/>
    <s v="Before_time"/>
    <n v="67"/>
    <n v="2"/>
    <d v="2024-12-01T00:00:00"/>
    <x v="0"/>
    <x v="7"/>
    <s v="13:15:51"/>
    <n v="331.08800000000002"/>
    <n v="66.022000000000006"/>
    <n v="264.08800000000002"/>
    <n v="330.11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3140"/>
    <d v="2024-08-01T00:00:00"/>
    <s v="19:45:13"/>
    <s v="PID033"/>
    <n v="48.45"/>
    <n v="1"/>
    <s v="FLAT15"/>
    <n v="15"/>
    <n v="6"/>
    <s v="Late_Delivery"/>
    <n v="66"/>
    <n v="7"/>
    <d v="2024-08-08T00:00:00"/>
    <x v="0"/>
    <x v="10"/>
    <s v="13:53:47"/>
    <n v="107.1825"/>
    <n v="7.2675000000000001"/>
    <n v="41.182500000000005"/>
    <n v="48.45"/>
  </r>
  <r>
    <s v="CID100"/>
    <s v="Sharon Thompson "/>
    <s v="Sharon"/>
    <s v="Thompson"/>
    <n v="57"/>
    <s v="&gt;45"/>
    <x v="1"/>
    <s v="Dallas"/>
    <s v="sharon.thompson@yahoo.com"/>
    <x v="3"/>
    <s v="598 Jasmine Harbor, Turnerberg, SD 02371"/>
    <s v="OID6771"/>
    <d v="2023-11-22T00:00:00"/>
    <s v="01:09:33"/>
    <s v="PID031"/>
    <n v="405"/>
    <n v="2"/>
    <s v="DEL0"/>
    <n v="0"/>
    <n v="4"/>
    <s v="Late_Delivery"/>
    <n v="70"/>
    <n v="5"/>
    <d v="2023-11-27T00:00:00"/>
    <x v="2"/>
    <x v="11"/>
    <s v="21:18:20"/>
    <n v="880"/>
    <n v="0"/>
    <n v="810"/>
    <n v="810"/>
  </r>
  <r>
    <s v="CID100"/>
    <s v="Sharon Thompson "/>
    <s v="Sharon"/>
    <s v="Thompson"/>
    <n v="57"/>
    <s v="&gt;45"/>
    <x v="1"/>
    <s v="Dallas"/>
    <s v="sharon.thompson@yahoo.com"/>
    <x v="3"/>
    <s v="598 Jasmine Harbor, Turnerberg, SD 02371"/>
    <s v="OID8988"/>
    <d v="2024-10-30T00:00:00"/>
    <s v="07:05:58"/>
    <s v="PID004"/>
    <n v="496.59"/>
    <n v="2"/>
    <s v="FLAT10"/>
    <n v="10"/>
    <n v="1"/>
    <s v="Late_Delivery"/>
    <n v="46"/>
    <n v="3"/>
    <d v="2024-11-02T00:00:00"/>
    <x v="0"/>
    <x v="11"/>
    <s v="17:13:41"/>
    <n v="939.86199999999997"/>
    <n v="99.317999999999998"/>
    <n v="893.86199999999997"/>
    <n v="993.18"/>
  </r>
  <r>
    <s v="CID152"/>
    <s v="Marcus Valenzuela "/>
    <s v="Marcus"/>
    <s v="Valenzuela"/>
    <n v="39"/>
    <s v="36-45"/>
    <x v="0"/>
    <s v="Phoenix"/>
    <s v="marcus.valenzuela@yahoo.com"/>
    <x v="3"/>
    <s v="694 Graham Prairie Apt. 887, Jimenezfurt, MI 33044"/>
    <s v="OID9398"/>
    <d v="2023-10-28T00:00:00"/>
    <s v="07:48:29"/>
    <s v="PID033"/>
    <n v="48.45"/>
    <n v="1"/>
    <s v="FLAT20"/>
    <n v="20"/>
    <n v="4"/>
    <s v="Before_time"/>
    <n v="66"/>
    <n v="1"/>
    <d v="2023-10-29T00:00:00"/>
    <x v="2"/>
    <x v="8"/>
    <s v="23:09:43"/>
    <n v="104.76"/>
    <n v="9.69"/>
    <n v="38.760000000000005"/>
    <n v="48.45"/>
  </r>
  <r>
    <s v="CID139"/>
    <s v="Joseph Gaines "/>
    <s v="Joseph"/>
    <s v="Gaines"/>
    <n v="47"/>
    <s v="&gt;45"/>
    <x v="2"/>
    <s v="New York"/>
    <s v="joseph.gaines@outlook.com"/>
    <x v="0"/>
    <s v="37549 Pope Isle Apt. 202, Tylerborough, MO 60042"/>
    <s v="OID9822"/>
    <d v="2023-05-30T00:00:00"/>
    <s v="12:17:34"/>
    <s v="PID020"/>
    <n v="431.44"/>
    <n v="1"/>
    <s v="DEL0"/>
    <n v="0"/>
    <n v="7"/>
    <s v="Before_time"/>
    <n v="35"/>
    <n v="4"/>
    <d v="2023-06-03T00:00:00"/>
    <x v="2"/>
    <x v="6"/>
    <s v="11:02:15"/>
    <n v="466.44"/>
    <n v="0"/>
    <n v="431.44"/>
    <n v="431.44"/>
  </r>
  <r>
    <s v="CID176"/>
    <s v="Joshua Campbell "/>
    <s v="Joshua"/>
    <s v="Campbell"/>
    <n v="24"/>
    <s v="0-25"/>
    <x v="0"/>
    <s v="Chicago"/>
    <s v="joshua.campbell@gmail.com"/>
    <x v="2"/>
    <s v="70426 Lindsey Overpass Apt. 030, Jessicafurt, AR 46269"/>
    <s v="OID1269"/>
    <d v="2024-09-20T00:00:00"/>
    <s v="19:02:37"/>
    <s v="PID019"/>
    <n v="286.07"/>
    <n v="5"/>
    <s v="FLAT15"/>
    <n v="15"/>
    <n v="5"/>
    <s v="Before_time"/>
    <n v="65"/>
    <n v="3"/>
    <d v="2024-09-23T00:00:00"/>
    <x v="0"/>
    <x v="4"/>
    <s v="00:56:16"/>
    <n v="1280.7974999999999"/>
    <n v="214.55250000000001"/>
    <n v="1215.7974999999999"/>
    <n v="1430.35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9915"/>
    <d v="2024-07-22T00:00:00"/>
    <s v="03:34:35"/>
    <s v="PID028"/>
    <n v="126.19"/>
    <n v="2"/>
    <s v="FLAT8"/>
    <n v="8"/>
    <n v="7"/>
    <s v="Before_time"/>
    <n v="48"/>
    <n v="1"/>
    <d v="2024-07-23T00:00:00"/>
    <x v="0"/>
    <x v="9"/>
    <s v="00:26:45"/>
    <n v="280.18960000000004"/>
    <n v="20.1904"/>
    <n v="232.18960000000001"/>
    <n v="252.38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3348"/>
    <d v="2024-01-16T00:00:00"/>
    <s v="17:05:21"/>
    <s v="PID005"/>
    <n v="445.81"/>
    <n v="5"/>
    <s v="FLAT15"/>
    <n v="15"/>
    <n v="1"/>
    <s v="Late_Delivery"/>
    <n v="56"/>
    <n v="6"/>
    <d v="2024-01-22T00:00:00"/>
    <x v="0"/>
    <x v="5"/>
    <s v="06:56:06"/>
    <n v="1950.6925000000001"/>
    <n v="334.35750000000002"/>
    <n v="1894.6925000000001"/>
    <n v="2229.0500000000002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8431"/>
    <d v="2024-11-29T00:00:00"/>
    <s v="23:41:08"/>
    <s v="PID001"/>
    <n v="369.03"/>
    <n v="4"/>
    <s v="FLAT20"/>
    <n v="20"/>
    <n v="4"/>
    <s v="Late_Delivery"/>
    <n v="56"/>
    <n v="5"/>
    <d v="2024-12-04T00:00:00"/>
    <x v="0"/>
    <x v="7"/>
    <s v="01:56:42"/>
    <n v="1236.896"/>
    <n v="295.22399999999999"/>
    <n v="1180.896"/>
    <n v="1476.12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6943"/>
    <d v="2024-07-31T00:00:00"/>
    <s v="04:48:30"/>
    <s v="PID035"/>
    <n v="433.62"/>
    <n v="2"/>
    <s v="FLAT20"/>
    <n v="20"/>
    <n v="1"/>
    <s v="Late_Delivery"/>
    <n v="41"/>
    <n v="6"/>
    <d v="2024-08-06T00:00:00"/>
    <x v="0"/>
    <x v="10"/>
    <s v="10:01:40"/>
    <n v="734.79200000000003"/>
    <n v="173.44799999999998"/>
    <n v="693.79200000000003"/>
    <n v="867.24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6229"/>
    <d v="2024-07-15T00:00:00"/>
    <s v="17:09:49"/>
    <s v="PID013"/>
    <n v="235.63"/>
    <n v="4"/>
    <s v="FLAT20"/>
    <n v="20"/>
    <n v="2"/>
    <s v="Late_Delivery"/>
    <n v="60"/>
    <n v="7"/>
    <d v="2024-07-22T00:00:00"/>
    <x v="0"/>
    <x v="9"/>
    <s v="22:15:50"/>
    <n v="814.01600000000008"/>
    <n v="188.50400000000002"/>
    <n v="754.01600000000008"/>
    <n v="942.52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6912"/>
    <d v="2023-07-11T00:00:00"/>
    <s v="07:51:16"/>
    <s v="PID050"/>
    <n v="158.53"/>
    <n v="5"/>
    <s v="FLAT20"/>
    <n v="20"/>
    <n v="1"/>
    <s v="Late_Delivery"/>
    <n v="57"/>
    <n v="7"/>
    <d v="2023-07-18T00:00:00"/>
    <x v="2"/>
    <x v="9"/>
    <s v="06:23:31"/>
    <n v="691.12"/>
    <n v="158.53"/>
    <n v="634.12"/>
    <n v="792.65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5081"/>
    <d v="2023-09-14T00:00:00"/>
    <s v="21:43:03"/>
    <s v="PID043"/>
    <n v="330.11"/>
    <n v="3"/>
    <s v="FLAT15"/>
    <n v="15"/>
    <n v="3"/>
    <s v="On_time"/>
    <n v="65"/>
    <n v="3"/>
    <d v="2023-09-17T00:00:00"/>
    <x v="2"/>
    <x v="4"/>
    <s v="01:29:42"/>
    <n v="906.78049999999996"/>
    <n v="148.54949999999999"/>
    <n v="841.78049999999996"/>
    <n v="990.33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5610"/>
    <d v="2025-01-16T00:00:00"/>
    <s v="07:53:58"/>
    <s v="PID039"/>
    <n v="220.27"/>
    <n v="2"/>
    <s v="FLAT20"/>
    <n v="20"/>
    <n v="1"/>
    <s v="Late_Delivery"/>
    <n v="63"/>
    <n v="2"/>
    <d v="2025-01-18T00:00:00"/>
    <x v="1"/>
    <x v="5"/>
    <s v="10:10:26"/>
    <n v="415.43200000000002"/>
    <n v="88.108000000000004"/>
    <n v="352.43200000000002"/>
    <n v="440.54"/>
  </r>
  <r>
    <s v="CID144"/>
    <s v="William Mann "/>
    <s v="William"/>
    <s v="Mann"/>
    <n v="21"/>
    <s v="0-25"/>
    <x v="0"/>
    <s v="Houston"/>
    <s v="william.mann@yahoo.com"/>
    <x v="3"/>
    <s v="849 Tran Wells, New Lindsayville, WI 22669"/>
    <s v="OID7759"/>
    <d v="2024-01-30T00:00:00"/>
    <s v="01:16:21"/>
    <s v="PID034"/>
    <n v="275.44"/>
    <n v="3"/>
    <s v="FLAT15"/>
    <n v="15"/>
    <n v="7"/>
    <s v="Before_time"/>
    <n v="47"/>
    <n v="1"/>
    <d v="2024-01-31T00:00:00"/>
    <x v="0"/>
    <x v="5"/>
    <s v="17:07:06"/>
    <n v="749.37199999999996"/>
    <n v="123.94799999999999"/>
    <n v="702.37199999999996"/>
    <n v="826.31999999999994"/>
  </r>
  <r>
    <s v="CID123"/>
    <s v="Christy Chang "/>
    <s v="Christy"/>
    <s v="Chang"/>
    <n v="38"/>
    <s v="36-45"/>
    <x v="1"/>
    <s v="Dallas"/>
    <s v="christy.chang@outlook.com"/>
    <x v="0"/>
    <s v="4647 Hannah Centers, Rhodesburgh, NH 89363"/>
    <s v="OID4481"/>
    <d v="2023-10-04T00:00:00"/>
    <s v="02:43:38"/>
    <s v="PID006"/>
    <n v="477.52"/>
    <n v="3"/>
    <s v="FLAT8"/>
    <n v="8"/>
    <n v="7"/>
    <s v="Before_time"/>
    <n v="66"/>
    <n v="5"/>
    <d v="2023-10-09T00:00:00"/>
    <x v="2"/>
    <x v="8"/>
    <s v="02:45:47"/>
    <n v="1383.9552000000001"/>
    <n v="114.6048"/>
    <n v="1317.9552000000001"/>
    <n v="1432.56"/>
  </r>
  <r>
    <s v="CID183"/>
    <s v="Troy Gomez "/>
    <s v="Troy"/>
    <s v="Gomez"/>
    <n v="68"/>
    <s v="&gt;45"/>
    <x v="0"/>
    <s v="Dallas"/>
    <s v="troy.gomez@outlook.com"/>
    <x v="0"/>
    <s v="7510 Jose Knolls, Candicechester, LA 62815"/>
    <s v="OID6749"/>
    <d v="2024-12-10T00:00:00"/>
    <s v="13:25:18"/>
    <s v="PID032"/>
    <n v="424.82"/>
    <n v="1"/>
    <s v="DEL0"/>
    <n v="0"/>
    <n v="6"/>
    <s v="Before_time"/>
    <n v="44"/>
    <n v="2"/>
    <d v="2024-12-12T00:00:00"/>
    <x v="0"/>
    <x v="7"/>
    <s v="14:51:25"/>
    <n v="468.82"/>
    <n v="0"/>
    <n v="424.82"/>
    <n v="424.82"/>
  </r>
  <r>
    <s v="CID143"/>
    <s v="Kim Blevins "/>
    <s v="Kim"/>
    <s v="Blevins"/>
    <n v="65"/>
    <s v="&gt;45"/>
    <x v="1"/>
    <s v="Los Angeles"/>
    <s v="kim.blevins@outlook.com"/>
    <x v="0"/>
    <s v="089 Rice Shoal Suite 491, Juarezmouth, MI 88715"/>
    <s v="OID8681"/>
    <d v="2023-08-27T00:00:00"/>
    <s v="18:32:14"/>
    <s v="PID001"/>
    <n v="369.03"/>
    <n v="4"/>
    <s v="FLAT8"/>
    <n v="8"/>
    <n v="3"/>
    <s v="Late_Delivery"/>
    <n v="56"/>
    <n v="4"/>
    <d v="2023-08-31T00:00:00"/>
    <x v="2"/>
    <x v="10"/>
    <s v="06:09:27"/>
    <n v="1414.0303999999999"/>
    <n v="118.08959999999999"/>
    <n v="1358.0303999999999"/>
    <n v="1476.12"/>
  </r>
  <r>
    <s v="CID111"/>
    <s v="Brian Kennedy "/>
    <s v="Brian"/>
    <s v="Kennedy"/>
    <n v="69"/>
    <s v="&gt;45"/>
    <x v="0"/>
    <s v="Phoenix"/>
    <s v="brian.kennedy@outlook.com"/>
    <x v="0"/>
    <s v="25126 Nancy Fort Suite 568, Alexandrachester, AZ 44823"/>
    <s v="OID9693"/>
    <d v="2024-07-11T00:00:00"/>
    <s v="21:12:50"/>
    <s v="PID048"/>
    <n v="136.30000000000001"/>
    <n v="2"/>
    <s v="FLAT10"/>
    <n v="10"/>
    <n v="1"/>
    <s v="On_time"/>
    <n v="54"/>
    <n v="1"/>
    <d v="2024-07-12T00:00:00"/>
    <x v="0"/>
    <x v="9"/>
    <s v="09:07:45"/>
    <n v="299.34000000000003"/>
    <n v="27.26"/>
    <n v="245.34000000000003"/>
    <n v="272.60000000000002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3607"/>
    <d v="2023-07-06T00:00:00"/>
    <s v="17:19:09"/>
    <s v="PID039"/>
    <n v="220.27"/>
    <n v="4"/>
    <s v="FLAT20"/>
    <n v="20"/>
    <n v="4"/>
    <s v="On_time"/>
    <n v="65"/>
    <n v="4"/>
    <d v="2023-07-10T00:00:00"/>
    <x v="2"/>
    <x v="9"/>
    <s v="09:03:23"/>
    <n v="769.86400000000003"/>
    <n v="176.21600000000001"/>
    <n v="704.86400000000003"/>
    <n v="881.08"/>
  </r>
  <r>
    <s v="CID144"/>
    <s v="William Mann "/>
    <s v="William"/>
    <s v="Mann"/>
    <n v="21"/>
    <s v="0-25"/>
    <x v="0"/>
    <s v="Houston"/>
    <s v="william.mann@yahoo.com"/>
    <x v="3"/>
    <s v="849 Tran Wells, New Lindsayville, WI 22669"/>
    <s v="OID9743"/>
    <d v="2024-08-26T00:00:00"/>
    <s v="15:04:45"/>
    <s v="PID016"/>
    <n v="133.62"/>
    <n v="5"/>
    <s v="FLAT15"/>
    <n v="15"/>
    <n v="6"/>
    <s v="Before_time"/>
    <n v="64"/>
    <n v="2"/>
    <d v="2024-08-28T00:00:00"/>
    <x v="0"/>
    <x v="10"/>
    <s v="19:43:27"/>
    <n v="631.88499999999999"/>
    <n v="100.215"/>
    <n v="567.88499999999999"/>
    <n v="668.1"/>
  </r>
  <r>
    <s v="CID156"/>
    <s v="Gregory Lee "/>
    <s v="Gregory"/>
    <s v="Lee"/>
    <n v="26"/>
    <s v="26-35"/>
    <x v="2"/>
    <s v="New York"/>
    <s v="gregory.lee@rediffmail.com"/>
    <x v="1"/>
    <s v="619 Parker Turnpike Apt. 025, West Brucehaven, ID 48437"/>
    <s v="OID7866"/>
    <d v="2024-05-20T00:00:00"/>
    <s v="18:15:56"/>
    <s v="PID022"/>
    <n v="308.88"/>
    <n v="2"/>
    <s v="FLAT20"/>
    <n v="20"/>
    <n v="4"/>
    <s v="On_time"/>
    <n v="61"/>
    <n v="4"/>
    <d v="2024-05-24T00:00:00"/>
    <x v="0"/>
    <x v="2"/>
    <s v="04:57:03"/>
    <n v="555.20800000000008"/>
    <n v="123.55200000000001"/>
    <n v="494.20800000000003"/>
    <n v="617.76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1137"/>
    <d v="2024-05-15T00:00:00"/>
    <s v="00:17:47"/>
    <s v="PID008"/>
    <n v="461.07"/>
    <n v="1"/>
    <s v="FLAT20"/>
    <n v="20"/>
    <n v="7"/>
    <s v="On_time"/>
    <n v="57"/>
    <n v="7"/>
    <d v="2024-05-22T00:00:00"/>
    <x v="0"/>
    <x v="2"/>
    <s v="21:42:51"/>
    <n v="425.85599999999999"/>
    <n v="92.213999999999999"/>
    <n v="368.85599999999999"/>
    <n v="461.07"/>
  </r>
  <r>
    <s v="CID170"/>
    <s v="Bruce Allen "/>
    <s v="Bruce"/>
    <s v="Allen"/>
    <n v="32"/>
    <s v="26-35"/>
    <x v="1"/>
    <s v="Phoenix"/>
    <s v="bruce.allen@rediffmail.com"/>
    <x v="1"/>
    <s v="2417 Brown Ford, West Timothyside, RI 45629"/>
    <s v="OID4685"/>
    <d v="2023-04-05T00:00:00"/>
    <s v="01:46:15"/>
    <s v="PID004"/>
    <n v="496.59"/>
    <n v="5"/>
    <s v="FLAT20"/>
    <n v="20"/>
    <n v="1"/>
    <s v="Late_Delivery"/>
    <n v="40"/>
    <n v="4"/>
    <d v="2023-04-09T00:00:00"/>
    <x v="2"/>
    <x v="3"/>
    <s v="22:28:20"/>
    <n v="2026.36"/>
    <n v="496.59"/>
    <n v="1986.36"/>
    <n v="2482.9499999999998"/>
  </r>
  <r>
    <s v="CID107"/>
    <s v="Lisa Miller "/>
    <s v="Lisa"/>
    <s v="Miller"/>
    <n v="70"/>
    <s v="&gt;45"/>
    <x v="1"/>
    <s v="Los Angeles"/>
    <s v="lisa.miller@gmail.com"/>
    <x v="2"/>
    <s v="89748 Campbell Drive, South Tannerland, WI 13143"/>
    <s v="OID9584"/>
    <d v="2023-03-20T00:00:00"/>
    <s v="09:44:25"/>
    <s v="PID024"/>
    <n v="104.18"/>
    <n v="2"/>
    <s v="FLAT8"/>
    <n v="8"/>
    <n v="2"/>
    <s v="Late_Delivery"/>
    <n v="40"/>
    <n v="5"/>
    <d v="2023-03-25T00:00:00"/>
    <x v="2"/>
    <x v="0"/>
    <s v="09:50:58"/>
    <n v="231.69120000000001"/>
    <n v="16.668800000000001"/>
    <n v="191.69120000000001"/>
    <n v="208.36"/>
  </r>
  <r>
    <s v="CID185"/>
    <s v="Melissa Levy "/>
    <s v="Melissa"/>
    <s v="Levy"/>
    <n v="30"/>
    <s v="26-35"/>
    <x v="0"/>
    <s v="Chicago"/>
    <s v="melissa.levy@rediffmail.com"/>
    <x v="1"/>
    <s v="3303 Kennedy Springs Suite 830, East Amybury, MI 95595"/>
    <s v="OID1686"/>
    <d v="2024-04-24T00:00:00"/>
    <s v="20:32:03"/>
    <s v="PID040"/>
    <n v="110.95"/>
    <n v="2"/>
    <s v="FLAT8"/>
    <n v="8"/>
    <n v="4"/>
    <s v="Before_time"/>
    <n v="68"/>
    <n v="2"/>
    <d v="2024-04-26T00:00:00"/>
    <x v="0"/>
    <x v="3"/>
    <s v="16:26:05"/>
    <n v="272.14800000000002"/>
    <n v="17.751999999999999"/>
    <n v="204.14800000000002"/>
    <n v="221.9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5272"/>
    <d v="2025-01-08T00:00:00"/>
    <s v="12:57:10"/>
    <s v="PID004"/>
    <n v="496.59"/>
    <n v="2"/>
    <s v="DEL0"/>
    <n v="0"/>
    <n v="5"/>
    <s v="Before_time"/>
    <n v="40"/>
    <n v="2"/>
    <d v="2025-01-10T00:00:00"/>
    <x v="1"/>
    <x v="5"/>
    <s v="19:04:22"/>
    <n v="1033.1799999999998"/>
    <n v="0"/>
    <n v="993.18"/>
    <n v="993.18"/>
  </r>
  <r>
    <s v="CID153"/>
    <s v="Mitchell Parker "/>
    <s v="Mitchell"/>
    <s v="Parker"/>
    <n v="39"/>
    <s v="36-45"/>
    <x v="2"/>
    <s v="Houston"/>
    <s v="mitchell.parker@yahoo.com"/>
    <x v="3"/>
    <s v="PSC 3316, Box 9303, APO AE 29513"/>
    <s v="OID7359"/>
    <d v="2024-04-15T00:00:00"/>
    <s v="14:16:13"/>
    <s v="PID007"/>
    <n v="257.06"/>
    <n v="4"/>
    <s v="FLAT20"/>
    <n v="20"/>
    <n v="3"/>
    <s v="Late_Delivery"/>
    <n v="50"/>
    <n v="4"/>
    <d v="2024-04-19T00:00:00"/>
    <x v="0"/>
    <x v="3"/>
    <s v="11:54:49"/>
    <n v="872.5920000000001"/>
    <n v="205.648"/>
    <n v="822.5920000000001"/>
    <n v="1028.24"/>
  </r>
  <r>
    <s v="CID139"/>
    <s v="Joseph Gaines "/>
    <s v="Joseph"/>
    <s v="Gaines"/>
    <n v="47"/>
    <s v="&gt;45"/>
    <x v="2"/>
    <s v="New York"/>
    <s v="joseph.gaines@outlook.com"/>
    <x v="0"/>
    <s v="37549 Pope Isle Apt. 202, Tylerborough, MO 60042"/>
    <s v="OID3570"/>
    <d v="2024-04-15T00:00:00"/>
    <s v="05:44:11"/>
    <s v="PID029"/>
    <n v="381.73"/>
    <n v="4"/>
    <s v="FLAT10"/>
    <n v="10"/>
    <n v="1"/>
    <s v="Late_Delivery"/>
    <n v="66"/>
    <n v="3"/>
    <d v="2024-04-18T00:00:00"/>
    <x v="0"/>
    <x v="3"/>
    <s v="18:54:47"/>
    <n v="1440.2280000000001"/>
    <n v="152.69200000000001"/>
    <n v="1374.2280000000001"/>
    <n v="1526.92"/>
  </r>
  <r>
    <s v="CID194"/>
    <s v="Barbara Fuller "/>
    <s v="Barbara"/>
    <s v="Fuller"/>
    <n v="43"/>
    <s v="36-45"/>
    <x v="2"/>
    <s v="Chicago"/>
    <s v="barbara.fuller@rediffmail.com"/>
    <x v="1"/>
    <s v="134 Mcintosh Unions Suite 574, Lake Laura, DE 96577"/>
    <s v="OID2519"/>
    <d v="2023-12-16T00:00:00"/>
    <s v="19:28:31"/>
    <s v="PID020"/>
    <n v="431.44"/>
    <n v="5"/>
    <s v="FLAT15"/>
    <n v="15"/>
    <n v="4"/>
    <s v="On_time"/>
    <n v="42"/>
    <n v="4"/>
    <d v="2023-12-20T00:00:00"/>
    <x v="2"/>
    <x v="7"/>
    <s v="16:45:09"/>
    <n v="1875.62"/>
    <n v="323.58"/>
    <n v="1833.62"/>
    <n v="2157.1999999999998"/>
  </r>
  <r>
    <s v="CID192"/>
    <s v="Brandon Cruz "/>
    <s v="Brandon"/>
    <s v="Cruz"/>
    <n v="32"/>
    <s v="26-35"/>
    <x v="2"/>
    <s v="Los Angeles"/>
    <s v="brandon.cruz@gmail.com"/>
    <x v="2"/>
    <s v="9296 Villanueva Branch, East Kevin, CO 93912"/>
    <s v="OID1134"/>
    <d v="2023-07-24T00:00:00"/>
    <s v="06:22:42"/>
    <s v="PID042"/>
    <n v="175.93"/>
    <n v="5"/>
    <s v="DEL0"/>
    <n v="0"/>
    <n v="5"/>
    <s v="Late_Delivery"/>
    <n v="63"/>
    <n v="7"/>
    <d v="2023-07-31T00:00:00"/>
    <x v="2"/>
    <x v="9"/>
    <s v="11:58:32"/>
    <n v="942.65000000000009"/>
    <n v="0"/>
    <n v="879.65000000000009"/>
    <n v="879.65000000000009"/>
  </r>
  <r>
    <s v="CID101"/>
    <s v="Bobby Forbes "/>
    <s v="Bobby"/>
    <s v="Forbes"/>
    <n v="20"/>
    <s v="0-25"/>
    <x v="0"/>
    <s v="Los Angeles"/>
    <s v="bobby.forbes@gmail.com"/>
    <x v="2"/>
    <s v="3079 John Parkway Suite 961, Port Kristaview, MT 91019"/>
    <s v="OID8270"/>
    <d v="2023-08-18T00:00:00"/>
    <s v="03:53:04"/>
    <s v="PID023"/>
    <n v="202.54"/>
    <n v="5"/>
    <s v="FLAT8"/>
    <n v="8"/>
    <n v="2"/>
    <s v="Late_Delivery"/>
    <n v="68"/>
    <n v="3"/>
    <d v="2023-08-21T00:00:00"/>
    <x v="2"/>
    <x v="10"/>
    <s v="15:27:26"/>
    <n v="999.68399999999997"/>
    <n v="81.015999999999991"/>
    <n v="931.68399999999997"/>
    <n v="1012.6999999999999"/>
  </r>
  <r>
    <s v="CID125"/>
    <s v="Kelli Smith "/>
    <s v="Kelli"/>
    <s v="Smith"/>
    <n v="18"/>
    <s v="0-25"/>
    <x v="1"/>
    <s v="Houston"/>
    <s v="kelli.smith@rediffmail.com"/>
    <x v="1"/>
    <s v="788 Kristina Lane, Montoyaside, VA 90756"/>
    <s v="OID9515"/>
    <d v="2023-04-07T00:00:00"/>
    <s v="13:06:48"/>
    <s v="PID007"/>
    <n v="257.06"/>
    <n v="4"/>
    <s v="FLAT10"/>
    <n v="10"/>
    <n v="1"/>
    <s v="Late_Delivery"/>
    <n v="65"/>
    <n v="2"/>
    <d v="2023-04-09T00:00:00"/>
    <x v="2"/>
    <x v="3"/>
    <s v="01:22:23"/>
    <n v="990.41600000000005"/>
    <n v="102.824"/>
    <n v="925.41600000000005"/>
    <n v="1028.24"/>
  </r>
  <r>
    <s v="CID188"/>
    <s v="Kristina Haynes "/>
    <s v="Kristina"/>
    <s v="Haynes"/>
    <n v="27"/>
    <s v="26-35"/>
    <x v="0"/>
    <s v="Houston"/>
    <s v="kristina.haynes@yahoo.com"/>
    <x v="3"/>
    <s v="18295 Thomas River, Kochville, NH 80868"/>
    <s v="OID6608"/>
    <d v="2023-09-14T00:00:00"/>
    <s v="10:28:03"/>
    <s v="PID044"/>
    <n v="20"/>
    <n v="1"/>
    <s v="FLAT10"/>
    <n v="10"/>
    <n v="4"/>
    <s v="Before_time"/>
    <n v="68"/>
    <n v="2"/>
    <d v="2023-09-16T00:00:00"/>
    <x v="2"/>
    <x v="4"/>
    <s v="23:08:52"/>
    <n v="86"/>
    <n v="2"/>
    <n v="18"/>
    <n v="20"/>
  </r>
  <r>
    <s v="CID112"/>
    <s v="Lindsey Byrd "/>
    <s v="Lindsey"/>
    <s v="Byrd"/>
    <n v="32"/>
    <s v="26-35"/>
    <x v="0"/>
    <s v="Chicago"/>
    <s v="lindsey.byrd@rediffmail.com"/>
    <x v="1"/>
    <s v="USCGC Harper, FPO AA 38349"/>
    <s v="OID3035"/>
    <d v="2023-06-29T00:00:00"/>
    <s v="22:11:06"/>
    <s v="PID003"/>
    <n v="20.7"/>
    <n v="2"/>
    <s v="DEL0"/>
    <n v="0"/>
    <n v="7"/>
    <s v="Before_time"/>
    <n v="43"/>
    <n v="1"/>
    <d v="2023-06-30T00:00:00"/>
    <x v="2"/>
    <x v="6"/>
    <s v="11:35:56"/>
    <n v="84.4"/>
    <n v="0"/>
    <n v="41.4"/>
    <n v="41.4"/>
  </r>
  <r>
    <s v="CID176"/>
    <s v="Joshua Campbell "/>
    <s v="Joshua"/>
    <s v="Campbell"/>
    <n v="24"/>
    <s v="0-25"/>
    <x v="0"/>
    <s v="Chicago"/>
    <s v="joshua.campbell@gmail.com"/>
    <x v="2"/>
    <s v="70426 Lindsey Overpass Apt. 030, Jessicafurt, AR 46269"/>
    <s v="OID4548"/>
    <d v="2023-03-18T00:00:00"/>
    <s v="14:00:52"/>
    <s v="PID029"/>
    <n v="381.73"/>
    <n v="2"/>
    <s v="DEL0"/>
    <n v="0"/>
    <n v="6"/>
    <s v="Before_time"/>
    <n v="41"/>
    <n v="5"/>
    <d v="2023-03-23T00:00:00"/>
    <x v="2"/>
    <x v="0"/>
    <s v="04:39:06"/>
    <n v="804.46"/>
    <n v="0"/>
    <n v="763.46"/>
    <n v="763.46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5978"/>
    <d v="2024-07-26T00:00:00"/>
    <s v="07:11:09"/>
    <s v="PID027"/>
    <n v="481.48"/>
    <n v="1"/>
    <s v="FLAT8"/>
    <n v="8"/>
    <n v="1"/>
    <s v="Late_Delivery"/>
    <n v="69"/>
    <n v="4"/>
    <d v="2024-07-30T00:00:00"/>
    <x v="0"/>
    <x v="9"/>
    <s v="14:05:53"/>
    <n v="511.96160000000003"/>
    <n v="38.5184"/>
    <n v="442.96160000000003"/>
    <n v="481.48"/>
  </r>
  <r>
    <s v="CID103"/>
    <s v="Jason Nguyen "/>
    <s v="Jason"/>
    <s v="Nguyen"/>
    <n v="51"/>
    <s v="&gt;45"/>
    <x v="2"/>
    <s v="Miami"/>
    <s v="jason.nguyen@yahoo.com"/>
    <x v="3"/>
    <s v="7112 Travis Glens Suite 790, Crystalland, WV 38373"/>
    <s v="OID6297"/>
    <d v="2024-02-13T00:00:00"/>
    <s v="12:09:51"/>
    <s v="PID037"/>
    <n v="77.84"/>
    <n v="2"/>
    <s v="FLAT8"/>
    <n v="8"/>
    <n v="6"/>
    <s v="On_time"/>
    <n v="36"/>
    <n v="6"/>
    <d v="2024-02-19T00:00:00"/>
    <x v="0"/>
    <x v="1"/>
    <s v="05:11:05"/>
    <n v="179.22560000000001"/>
    <n v="12.4544"/>
    <n v="143.22560000000001"/>
    <n v="155.68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5108"/>
    <d v="2023-09-17T00:00:00"/>
    <s v="10:51:20"/>
    <s v="PID048"/>
    <n v="136.30000000000001"/>
    <n v="1"/>
    <s v="FLAT20"/>
    <n v="20"/>
    <n v="4"/>
    <s v="Before_time"/>
    <n v="41"/>
    <n v="3"/>
    <d v="2023-09-20T00:00:00"/>
    <x v="2"/>
    <x v="4"/>
    <s v="23:53:27"/>
    <n v="150.04000000000002"/>
    <n v="27.26"/>
    <n v="109.04000000000002"/>
    <n v="136.30000000000001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4599"/>
    <d v="2023-10-14T00:00:00"/>
    <s v="23:40:15"/>
    <s v="PID032"/>
    <n v="424.82"/>
    <n v="3"/>
    <s v="FLAT8"/>
    <n v="8"/>
    <n v="2"/>
    <s v="On_time"/>
    <n v="67"/>
    <n v="2"/>
    <d v="2023-10-16T00:00:00"/>
    <x v="2"/>
    <x v="8"/>
    <s v="20:14:00"/>
    <n v="1239.5032000000001"/>
    <n v="101.9568"/>
    <n v="1172.5032000000001"/>
    <n v="1274.46"/>
  </r>
  <r>
    <s v="CID128"/>
    <s v="Traci Jones "/>
    <s v="Traci"/>
    <s v="Jones"/>
    <n v="34"/>
    <s v="26-35"/>
    <x v="0"/>
    <s v="Los Angeles"/>
    <s v="traci.jones@yahoo.com"/>
    <x v="3"/>
    <s v="4016 Ryan Passage, Collinsside, PA 88777"/>
    <s v="OID1418"/>
    <d v="2025-01-10T00:00:00"/>
    <s v="01:24:01"/>
    <s v="PID048"/>
    <n v="136.30000000000001"/>
    <n v="2"/>
    <s v="FLAT10"/>
    <n v="10"/>
    <n v="3"/>
    <s v="Late_Delivery"/>
    <n v="68"/>
    <n v="7"/>
    <d v="2025-01-17T00:00:00"/>
    <x v="1"/>
    <x v="5"/>
    <s v="16:29:02"/>
    <n v="313.34000000000003"/>
    <n v="27.26"/>
    <n v="245.34000000000003"/>
    <n v="272.60000000000002"/>
  </r>
  <r>
    <s v="CID178"/>
    <s v="Amy Reid "/>
    <s v="Amy"/>
    <s v="Reid"/>
    <n v="44"/>
    <s v="36-45"/>
    <x v="1"/>
    <s v="Los Angeles"/>
    <s v="amy.reid@rediffmail.com"/>
    <x v="1"/>
    <s v="6262 Simpson Village, North Danielle, RI 76074"/>
    <s v="OID1411"/>
    <d v="2024-12-10T00:00:00"/>
    <s v="11:34:01"/>
    <s v="PID020"/>
    <n v="431.44"/>
    <n v="4"/>
    <s v="FLAT15"/>
    <n v="15"/>
    <n v="2"/>
    <s v="Before_time"/>
    <n v="66"/>
    <n v="1"/>
    <d v="2024-12-11T00:00:00"/>
    <x v="0"/>
    <x v="7"/>
    <s v="11:25:35"/>
    <n v="1532.896"/>
    <n v="258.86400000000003"/>
    <n v="1466.896"/>
    <n v="1725.76"/>
  </r>
  <r>
    <s v="CID156"/>
    <s v="Gregory Lee "/>
    <s v="Gregory"/>
    <s v="Lee"/>
    <n v="26"/>
    <s v="26-35"/>
    <x v="2"/>
    <s v="New York"/>
    <s v="gregory.lee@rediffmail.com"/>
    <x v="1"/>
    <s v="619 Parker Turnpike Apt. 025, West Brucehaven, ID 48437"/>
    <s v="OID8692"/>
    <d v="2024-06-07T00:00:00"/>
    <s v="02:04:13"/>
    <s v="PID012"/>
    <n v="132.97"/>
    <n v="5"/>
    <s v="FLAT20"/>
    <n v="20"/>
    <n v="3"/>
    <s v="Before_time"/>
    <n v="45"/>
    <n v="2"/>
    <d v="2024-06-09T00:00:00"/>
    <x v="0"/>
    <x v="6"/>
    <s v="19:20:55"/>
    <n v="576.88"/>
    <n v="132.97"/>
    <n v="531.88"/>
    <n v="664.85"/>
  </r>
  <r>
    <s v="CID103"/>
    <s v="Jason Nguyen "/>
    <s v="Jason"/>
    <s v="Nguyen"/>
    <n v="51"/>
    <s v="&gt;45"/>
    <x v="2"/>
    <s v="Miami"/>
    <s v="jason.nguyen@yahoo.com"/>
    <x v="3"/>
    <s v="7112 Travis Glens Suite 790, Crystalland, WV 38373"/>
    <s v="OID4402"/>
    <d v="2024-11-02T00:00:00"/>
    <s v="22:18:21"/>
    <s v="PID014"/>
    <n v="272.51"/>
    <n v="4"/>
    <s v="DEL0"/>
    <n v="0"/>
    <n v="2"/>
    <s v="Before_time"/>
    <n v="42"/>
    <n v="1"/>
    <d v="2024-11-03T00:00:00"/>
    <x v="0"/>
    <x v="11"/>
    <s v="12:35:14"/>
    <n v="1132.04"/>
    <n v="0"/>
    <n v="1090.04"/>
    <n v="1090.04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1309"/>
    <d v="2024-10-24T00:00:00"/>
    <s v="08:18:11"/>
    <s v="PID023"/>
    <n v="202.54"/>
    <n v="2"/>
    <s v="FLAT20"/>
    <n v="20"/>
    <n v="6"/>
    <s v="Before_time"/>
    <n v="70"/>
    <n v="5"/>
    <d v="2024-10-29T00:00:00"/>
    <x v="0"/>
    <x v="8"/>
    <s v="13:38:46"/>
    <n v="394.06400000000002"/>
    <n v="81.015999999999991"/>
    <n v="324.06400000000002"/>
    <n v="405.08"/>
  </r>
  <r>
    <s v="CID152"/>
    <s v="Marcus Valenzuela "/>
    <s v="Marcus"/>
    <s v="Valenzuela"/>
    <n v="39"/>
    <s v="36-45"/>
    <x v="0"/>
    <s v="Phoenix"/>
    <s v="marcus.valenzuela@yahoo.com"/>
    <x v="3"/>
    <s v="694 Graham Prairie Apt. 887, Jimenezfurt, MI 33044"/>
    <s v="OID2746"/>
    <d v="2025-02-01T00:00:00"/>
    <s v="10:44:36"/>
    <s v="PID048"/>
    <n v="136.30000000000001"/>
    <n v="2"/>
    <s v="FLAT10"/>
    <n v="10"/>
    <n v="2"/>
    <s v="Late_Delivery"/>
    <n v="51"/>
    <n v="5"/>
    <d v="2025-02-06T00:00:00"/>
    <x v="1"/>
    <x v="1"/>
    <s v="23:51:56"/>
    <n v="296.34000000000003"/>
    <n v="27.26"/>
    <n v="245.34000000000003"/>
    <n v="272.60000000000002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9360"/>
    <d v="2023-06-17T00:00:00"/>
    <s v="17:09:22"/>
    <s v="PID025"/>
    <n v="403.03"/>
    <n v="5"/>
    <s v="DEL0"/>
    <n v="0"/>
    <n v="7"/>
    <s v="Before_time"/>
    <n v="52"/>
    <n v="3"/>
    <d v="2023-06-20T00:00:00"/>
    <x v="2"/>
    <x v="6"/>
    <s v="16:24:38"/>
    <n v="2067.1499999999996"/>
    <n v="0"/>
    <n v="2015.1499999999999"/>
    <n v="2015.1499999999999"/>
  </r>
  <r>
    <s v="CID133"/>
    <s v="Donna Oneill "/>
    <s v="Donna"/>
    <s v="Oneill"/>
    <n v="70"/>
    <s v="&gt;45"/>
    <x v="0"/>
    <s v="San Francisco"/>
    <s v="donna.oneill@yahoo.com"/>
    <x v="3"/>
    <s v="464 Carolyn Crest Suite 738, Lake Isaiah, CA 66153"/>
    <s v="OID6453"/>
    <d v="2023-12-21T00:00:00"/>
    <s v="07:07:24"/>
    <s v="PID025"/>
    <n v="403.03"/>
    <n v="4"/>
    <s v="FLAT10"/>
    <n v="10"/>
    <n v="6"/>
    <s v="Before_time"/>
    <n v="47"/>
    <n v="2"/>
    <d v="2023-12-23T00:00:00"/>
    <x v="2"/>
    <x v="7"/>
    <s v="01:21:39"/>
    <n v="1497.9079999999999"/>
    <n v="161.21199999999999"/>
    <n v="1450.9079999999999"/>
    <n v="1612.12"/>
  </r>
  <r>
    <s v="CID124"/>
    <s v="Edward Black "/>
    <s v="Edward"/>
    <s v="Black"/>
    <n v="42"/>
    <s v="36-45"/>
    <x v="0"/>
    <s v="New York"/>
    <s v="edward.black@gmail.com"/>
    <x v="2"/>
    <s v="5879 Susan Via Apt. 886, Sandovalbury, WV 61449"/>
    <s v="OID9745"/>
    <d v="2023-02-22T00:00:00"/>
    <s v="07:27:27"/>
    <s v="PID047"/>
    <n v="190.1"/>
    <n v="5"/>
    <s v="FLAT20"/>
    <n v="20"/>
    <n v="4"/>
    <s v="Late_Delivery"/>
    <n v="37"/>
    <n v="5"/>
    <d v="2023-02-27T00:00:00"/>
    <x v="2"/>
    <x v="1"/>
    <s v="14:08:36"/>
    <n v="797.40000000000009"/>
    <n v="190.1"/>
    <n v="760.40000000000009"/>
    <n v="950.5"/>
  </r>
  <r>
    <s v="CID160"/>
    <s v="James Brown "/>
    <s v="James"/>
    <s v="Brown"/>
    <n v="60"/>
    <s v="&gt;45"/>
    <x v="0"/>
    <s v="Miami"/>
    <s v="james.brown@yahoo.com"/>
    <x v="3"/>
    <s v="221 Frey Crossing Suite 192, South Taylorland, HI 72875"/>
    <s v="OID4081"/>
    <d v="2025-01-06T00:00:00"/>
    <s v="00:30:57"/>
    <s v="PID048"/>
    <n v="136.30000000000001"/>
    <n v="4"/>
    <s v="DEL0"/>
    <n v="0"/>
    <n v="5"/>
    <s v="On_time"/>
    <n v="61"/>
    <n v="5"/>
    <d v="2025-01-11T00:00:00"/>
    <x v="1"/>
    <x v="5"/>
    <s v="15:41:07"/>
    <n v="606.20000000000005"/>
    <n v="0"/>
    <n v="545.20000000000005"/>
    <n v="545.20000000000005"/>
  </r>
  <r>
    <s v="CID171"/>
    <s v="Leslie Montgomery "/>
    <s v="Leslie"/>
    <s v="Montgomery"/>
    <n v="26"/>
    <s v="26-35"/>
    <x v="1"/>
    <s v="Chicago"/>
    <s v="leslie.montgomery@gmail.com"/>
    <x v="2"/>
    <s v="135 Teresa Oval Apt. 825, East Katherineport, WY 13714"/>
    <s v="OID3967"/>
    <d v="2023-10-27T00:00:00"/>
    <s v="20:10:38"/>
    <s v="PID013"/>
    <n v="235.63"/>
    <n v="1"/>
    <s v="FLAT20"/>
    <n v="20"/>
    <n v="2"/>
    <s v="Late_Delivery"/>
    <n v="66"/>
    <n v="7"/>
    <d v="2023-11-03T00:00:00"/>
    <x v="2"/>
    <x v="11"/>
    <s v="03:43:44"/>
    <n v="254.50400000000002"/>
    <n v="47.126000000000005"/>
    <n v="188.50400000000002"/>
    <n v="235.63"/>
  </r>
  <r>
    <s v="CID173"/>
    <s v="Susan Thompson "/>
    <s v="Susan"/>
    <s v="Thompson"/>
    <n v="37"/>
    <s v="36-45"/>
    <x v="2"/>
    <s v="Dallas"/>
    <s v="susan.thompson@outlook.com"/>
    <x v="0"/>
    <s v="47821 William Station, East Ashleymouth, FL 20562"/>
    <s v="OID9112"/>
    <d v="2023-11-19T00:00:00"/>
    <s v="14:57:06"/>
    <s v="PID035"/>
    <n v="433.62"/>
    <n v="4"/>
    <s v="FLAT20"/>
    <n v="20"/>
    <n v="3"/>
    <s v="On_time"/>
    <n v="36"/>
    <n v="3"/>
    <d v="2023-11-22T00:00:00"/>
    <x v="2"/>
    <x v="11"/>
    <s v="21:20:28"/>
    <n v="1423.5840000000001"/>
    <n v="346.89599999999996"/>
    <n v="1387.5840000000001"/>
    <n v="1734.48"/>
  </r>
  <r>
    <s v="CID194"/>
    <s v="Barbara Fuller "/>
    <s v="Barbara"/>
    <s v="Fuller"/>
    <n v="43"/>
    <s v="36-45"/>
    <x v="2"/>
    <s v="Chicago"/>
    <s v="barbara.fuller@rediffmail.com"/>
    <x v="1"/>
    <s v="134 Mcintosh Unions Suite 574, Lake Laura, DE 96577"/>
    <s v="OID8628"/>
    <d v="2024-02-09T00:00:00"/>
    <s v="10:20:44"/>
    <s v="PID036"/>
    <n v="157.63999999999999"/>
    <n v="5"/>
    <s v="DEL0"/>
    <n v="0"/>
    <n v="7"/>
    <s v="Before_time"/>
    <n v="36"/>
    <n v="1"/>
    <d v="2024-02-10T00:00:00"/>
    <x v="0"/>
    <x v="1"/>
    <s v="23:29:03"/>
    <n v="824.19999999999993"/>
    <n v="0"/>
    <n v="788.19999999999993"/>
    <n v="788.19999999999993"/>
  </r>
  <r>
    <s v="CID198"/>
    <s v="David Delacruz "/>
    <s v="David"/>
    <s v="Delacruz"/>
    <n v="26"/>
    <s v="26-35"/>
    <x v="1"/>
    <s v="Los Angeles"/>
    <s v="david.delacruz@rediffmail.com"/>
    <x v="1"/>
    <s v="USNS Ray, FPO AE 20238"/>
    <s v="OID5996"/>
    <d v="2023-07-01T00:00:00"/>
    <s v="14:09:23"/>
    <s v="PID050"/>
    <n v="158.53"/>
    <n v="5"/>
    <s v="DEL0"/>
    <n v="0"/>
    <n v="4"/>
    <s v="Before_time"/>
    <n v="66"/>
    <n v="3"/>
    <d v="2023-07-04T00:00:00"/>
    <x v="2"/>
    <x v="9"/>
    <s v="10:17:52"/>
    <n v="858.65"/>
    <n v="0"/>
    <n v="792.65"/>
    <n v="792.65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5210"/>
    <d v="2023-12-23T00:00:00"/>
    <s v="10:48:56"/>
    <s v="PID007"/>
    <n v="257.06"/>
    <n v="3"/>
    <s v="FLAT8"/>
    <n v="8"/>
    <n v="6"/>
    <s v="On_time"/>
    <n v="65"/>
    <n v="6"/>
    <d v="2023-12-29T00:00:00"/>
    <x v="2"/>
    <x v="7"/>
    <s v="05:48:39"/>
    <n v="774.48560000000009"/>
    <n v="61.694400000000002"/>
    <n v="709.48560000000009"/>
    <n v="771.18000000000006"/>
  </r>
  <r>
    <s v="CID112"/>
    <s v="Lindsey Byrd "/>
    <s v="Lindsey"/>
    <s v="Byrd"/>
    <n v="32"/>
    <s v="26-35"/>
    <x v="0"/>
    <s v="Chicago"/>
    <s v="lindsey.byrd@rediffmail.com"/>
    <x v="1"/>
    <s v="USCGC Harper, FPO AA 38349"/>
    <s v="OID4415"/>
    <d v="2024-09-02T00:00:00"/>
    <s v="10:33:35"/>
    <s v="PID040"/>
    <n v="110.95"/>
    <n v="4"/>
    <s v="FLAT15"/>
    <n v="15"/>
    <n v="1"/>
    <s v="Late_Delivery"/>
    <n v="60"/>
    <n v="4"/>
    <d v="2024-09-06T00:00:00"/>
    <x v="0"/>
    <x v="4"/>
    <s v="05:24:44"/>
    <n v="437.23"/>
    <n v="66.569999999999993"/>
    <n v="377.23"/>
    <n v="443.8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6716"/>
    <d v="2024-11-13T00:00:00"/>
    <s v="22:34:39"/>
    <s v="PID027"/>
    <n v="481.48"/>
    <n v="5"/>
    <s v="FLAT8"/>
    <n v="8"/>
    <n v="6"/>
    <s v="Before_time"/>
    <n v="44"/>
    <n v="3"/>
    <d v="2024-11-16T00:00:00"/>
    <x v="0"/>
    <x v="11"/>
    <s v="02:59:45"/>
    <n v="2258.808"/>
    <n v="192.59200000000001"/>
    <n v="2214.808"/>
    <n v="2407.4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9804"/>
    <d v="2024-10-11T00:00:00"/>
    <s v="19:56:54"/>
    <s v="PID011"/>
    <n v="292.14999999999998"/>
    <n v="4"/>
    <s v="FLAT20"/>
    <n v="20"/>
    <n v="1"/>
    <s v="On_time"/>
    <n v="58"/>
    <n v="1"/>
    <d v="2024-10-12T00:00:00"/>
    <x v="0"/>
    <x v="8"/>
    <s v="02:22:56"/>
    <n v="992.88"/>
    <n v="233.72"/>
    <n v="934.88"/>
    <n v="1168.5999999999999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9798"/>
    <d v="2023-09-30T00:00:00"/>
    <s v="19:28:23"/>
    <s v="PID044"/>
    <n v="20"/>
    <n v="5"/>
    <s v="FLAT15"/>
    <n v="15"/>
    <n v="7"/>
    <s v="Before_time"/>
    <n v="40"/>
    <n v="4"/>
    <d v="2023-10-04T00:00:00"/>
    <x v="2"/>
    <x v="8"/>
    <s v="11:32:19"/>
    <n v="125"/>
    <n v="15"/>
    <n v="85"/>
    <n v="100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4965"/>
    <d v="2025-01-20T00:00:00"/>
    <s v="09:43:17"/>
    <s v="PID031"/>
    <n v="405"/>
    <n v="2"/>
    <s v="FLAT15"/>
    <n v="15"/>
    <n v="7"/>
    <s v="Before_time"/>
    <n v="55"/>
    <n v="3"/>
    <d v="2025-01-23T00:00:00"/>
    <x v="1"/>
    <x v="5"/>
    <s v="16:27:25"/>
    <n v="743.5"/>
    <n v="121.5"/>
    <n v="688.5"/>
    <n v="810"/>
  </r>
  <r>
    <s v="CID145"/>
    <s v="Ashley Romero "/>
    <s v="Ashley"/>
    <s v="Romero"/>
    <n v="35"/>
    <s v="26-35"/>
    <x v="0"/>
    <s v="Phoenix"/>
    <s v="ashley.romero@yahoo.com"/>
    <x v="3"/>
    <s v="547 Kerry Expressway, Lake Amanda, AR 20321"/>
    <s v="OID3209"/>
    <d v="2024-10-16T00:00:00"/>
    <s v="06:49:56"/>
    <s v="PID033"/>
    <n v="48.45"/>
    <n v="5"/>
    <s v="FLAT10"/>
    <n v="10"/>
    <n v="7"/>
    <s v="On_time"/>
    <n v="53"/>
    <n v="7"/>
    <d v="2024-10-23T00:00:00"/>
    <x v="0"/>
    <x v="8"/>
    <s v="22:10:44"/>
    <n v="271.02499999999998"/>
    <n v="24.225000000000001"/>
    <n v="218.02500000000001"/>
    <n v="242.25"/>
  </r>
  <r>
    <s v="CID153"/>
    <s v="Mitchell Parker "/>
    <s v="Mitchell"/>
    <s v="Parker"/>
    <n v="39"/>
    <s v="36-45"/>
    <x v="2"/>
    <s v="Houston"/>
    <s v="mitchell.parker@yahoo.com"/>
    <x v="3"/>
    <s v="PSC 3316, Box 9303, APO AE 29513"/>
    <s v="OID6103"/>
    <d v="2024-11-13T00:00:00"/>
    <s v="00:43:57"/>
    <s v="PID023"/>
    <n v="202.54"/>
    <n v="1"/>
    <s v="FLAT8"/>
    <n v="8"/>
    <n v="4"/>
    <s v="Before_time"/>
    <n v="48"/>
    <n v="2"/>
    <d v="2024-11-15T00:00:00"/>
    <x v="0"/>
    <x v="11"/>
    <s v="04:56:51"/>
    <n v="234.33680000000001"/>
    <n v="16.203199999999999"/>
    <n v="186.33680000000001"/>
    <n v="202.54"/>
  </r>
  <r>
    <s v="CID188"/>
    <s v="Kristina Haynes "/>
    <s v="Kristina"/>
    <s v="Haynes"/>
    <n v="27"/>
    <s v="26-35"/>
    <x v="0"/>
    <s v="Houston"/>
    <s v="kristina.haynes@yahoo.com"/>
    <x v="3"/>
    <s v="18295 Thomas River, Kochville, NH 80868"/>
    <s v="OID4368"/>
    <d v="2023-02-26T00:00:00"/>
    <s v="15:45:08"/>
    <s v="PID019"/>
    <n v="286.07"/>
    <n v="5"/>
    <s v="FLAT20"/>
    <n v="20"/>
    <n v="1"/>
    <s v="Late_Delivery"/>
    <n v="52"/>
    <n v="3"/>
    <d v="2023-03-01T00:00:00"/>
    <x v="2"/>
    <x v="0"/>
    <s v="19:53:01"/>
    <n v="1196.28"/>
    <n v="286.07"/>
    <n v="1144.28"/>
    <n v="1430.35"/>
  </r>
  <r>
    <s v="CID199"/>
    <s v="Lori Cook "/>
    <s v="Lori"/>
    <s v="Cook"/>
    <n v="18"/>
    <s v="0-25"/>
    <x v="1"/>
    <s v="Houston"/>
    <s v="lori.cook@rediffmail.com"/>
    <x v="1"/>
    <s v="86837 Bell Meadows, North Jasonshire, UT 51354"/>
    <s v="OID1692"/>
    <d v="2024-03-27T00:00:00"/>
    <s v="03:06:30"/>
    <s v="PID023"/>
    <n v="202.54"/>
    <n v="4"/>
    <s v="FLAT10"/>
    <n v="10"/>
    <n v="1"/>
    <s v="Late_Delivery"/>
    <n v="36"/>
    <n v="2"/>
    <d v="2024-03-29T00:00:00"/>
    <x v="0"/>
    <x v="0"/>
    <s v="06:57:51"/>
    <n v="765.14400000000001"/>
    <n v="81.015999999999991"/>
    <n v="729.14400000000001"/>
    <n v="810.16"/>
  </r>
  <r>
    <s v="CID108"/>
    <s v="Teresa Harvey "/>
    <s v="Teresa"/>
    <s v="Harvey"/>
    <n v="64"/>
    <s v="&gt;45"/>
    <x v="2"/>
    <s v="Phoenix"/>
    <s v="teresa.harvey@gmail.com"/>
    <x v="2"/>
    <s v="02669 Kirk Squares, Davisville, VA 51272"/>
    <s v="OID9808"/>
    <d v="2023-03-04T00:00:00"/>
    <s v="13:02:42"/>
    <s v="PID010"/>
    <n v="44.5"/>
    <n v="3"/>
    <s v="FLAT8"/>
    <n v="8"/>
    <n v="6"/>
    <s v="Before_time"/>
    <n v="46"/>
    <n v="2"/>
    <d v="2023-03-06T00:00:00"/>
    <x v="2"/>
    <x v="0"/>
    <s v="06:40:28"/>
    <n v="168.82"/>
    <n v="10.68"/>
    <n v="122.82000000000001"/>
    <n v="133.5"/>
  </r>
  <r>
    <s v="CID119"/>
    <s v="Amy Griffin "/>
    <s v="Amy"/>
    <s v="Griffin"/>
    <n v="29"/>
    <s v="26-35"/>
    <x v="0"/>
    <s v="Houston"/>
    <s v="amy.griffin@rediffmail.com"/>
    <x v="1"/>
    <s v="07350 Aaron Meadow Suite 138, Kiaraberg, AL 79545"/>
    <s v="OID3568"/>
    <d v="2023-11-21T00:00:00"/>
    <s v="10:25:49"/>
    <s v="PID027"/>
    <n v="481.48"/>
    <n v="4"/>
    <s v="DEL0"/>
    <n v="0"/>
    <n v="3"/>
    <s v="Late_Delivery"/>
    <n v="54"/>
    <n v="5"/>
    <d v="2023-11-26T00:00:00"/>
    <x v="2"/>
    <x v="11"/>
    <s v="08:21:37"/>
    <n v="1979.92"/>
    <n v="0"/>
    <n v="1925.92"/>
    <n v="1925.92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3469"/>
    <d v="2023-10-01T00:00:00"/>
    <s v="04:33:43"/>
    <s v="PID037"/>
    <n v="77.84"/>
    <n v="5"/>
    <s v="FLAT10"/>
    <n v="10"/>
    <n v="1"/>
    <s v="Late_Delivery"/>
    <n v="41"/>
    <n v="6"/>
    <d v="2023-10-07T00:00:00"/>
    <x v="2"/>
    <x v="8"/>
    <s v="01:47:49"/>
    <n v="391.28000000000003"/>
    <n v="38.92"/>
    <n v="350.28000000000003"/>
    <n v="389.20000000000005"/>
  </r>
  <r>
    <s v="CID134"/>
    <s v="Debra Hayes "/>
    <s v="Debra"/>
    <s v="Hayes"/>
    <n v="33"/>
    <s v="26-35"/>
    <x v="0"/>
    <s v="San Francisco"/>
    <s v="debra.hayes@yahoo.com"/>
    <x v="3"/>
    <s v="4601 Miller Lock, Williamsbury, IA 10943"/>
    <s v="OID6217"/>
    <d v="2024-02-08T00:00:00"/>
    <s v="15:45:02"/>
    <s v="PID004"/>
    <n v="496.59"/>
    <n v="2"/>
    <s v="FLAT10"/>
    <n v="10"/>
    <n v="5"/>
    <s v="Before_time"/>
    <n v="40"/>
    <n v="1"/>
    <d v="2024-02-09T00:00:00"/>
    <x v="0"/>
    <x v="1"/>
    <s v="19:16:06"/>
    <n v="933.86199999999997"/>
    <n v="99.317999999999998"/>
    <n v="893.86199999999997"/>
    <n v="993.18"/>
  </r>
  <r>
    <s v="CID108"/>
    <s v="Teresa Harvey "/>
    <s v="Teresa"/>
    <s v="Harvey"/>
    <n v="64"/>
    <s v="&gt;45"/>
    <x v="2"/>
    <s v="Phoenix"/>
    <s v="teresa.harvey@gmail.com"/>
    <x v="2"/>
    <s v="02669 Kirk Squares, Davisville, VA 51272"/>
    <s v="OID9257"/>
    <d v="2023-07-22T00:00:00"/>
    <s v="18:37:45"/>
    <s v="PID039"/>
    <n v="220.27"/>
    <n v="3"/>
    <s v="FLAT8"/>
    <n v="8"/>
    <n v="6"/>
    <s v="Before_time"/>
    <n v="48"/>
    <n v="3"/>
    <d v="2023-07-25T00:00:00"/>
    <x v="2"/>
    <x v="9"/>
    <s v="02:32:24"/>
    <n v="655.94520000000011"/>
    <n v="52.864800000000002"/>
    <n v="607.94520000000011"/>
    <n v="660.81000000000006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7258"/>
    <d v="2024-10-19T00:00:00"/>
    <s v="20:25:23"/>
    <s v="PID021"/>
    <n v="129.75"/>
    <n v="1"/>
    <s v="DEL0"/>
    <n v="0"/>
    <n v="7"/>
    <s v="On_time"/>
    <n v="44"/>
    <n v="7"/>
    <d v="2024-10-26T00:00:00"/>
    <x v="0"/>
    <x v="8"/>
    <s v="11:54:10"/>
    <n v="173.75"/>
    <n v="0"/>
    <n v="129.75"/>
    <n v="129.75"/>
  </r>
  <r>
    <s v="CID194"/>
    <s v="Barbara Fuller "/>
    <s v="Barbara"/>
    <s v="Fuller"/>
    <n v="43"/>
    <s v="36-45"/>
    <x v="2"/>
    <s v="Chicago"/>
    <s v="barbara.fuller@rediffmail.com"/>
    <x v="1"/>
    <s v="134 Mcintosh Unions Suite 574, Lake Laura, DE 96577"/>
    <s v="OID8380"/>
    <d v="2023-12-31T00:00:00"/>
    <s v="10:35:10"/>
    <s v="PID048"/>
    <n v="136.30000000000001"/>
    <n v="1"/>
    <s v="FLAT15"/>
    <n v="15"/>
    <n v="1"/>
    <s v="Late_Delivery"/>
    <n v="64"/>
    <n v="5"/>
    <d v="2024-01-05T00:00:00"/>
    <x v="0"/>
    <x v="5"/>
    <s v="00:12:03"/>
    <n v="179.85500000000002"/>
    <n v="20.445000000000004"/>
    <n v="115.855"/>
    <n v="136.30000000000001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9224"/>
    <d v="2024-07-09T00:00:00"/>
    <s v="21:35:45"/>
    <s v="PID019"/>
    <n v="286.07"/>
    <n v="2"/>
    <s v="FLAT8"/>
    <n v="8"/>
    <n v="3"/>
    <s v="On_time"/>
    <n v="54"/>
    <n v="3"/>
    <d v="2024-07-12T00:00:00"/>
    <x v="0"/>
    <x v="9"/>
    <s v="09:34:31"/>
    <n v="580.36879999999996"/>
    <n v="45.7712"/>
    <n v="526.36879999999996"/>
    <n v="572.14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4506"/>
    <d v="2023-06-12T00:00:00"/>
    <s v="16:54:11"/>
    <s v="PID046"/>
    <n v="363.64"/>
    <n v="2"/>
    <s v="DEL0"/>
    <n v="0"/>
    <n v="4"/>
    <s v="Before_time"/>
    <n v="40"/>
    <n v="2"/>
    <d v="2023-06-14T00:00:00"/>
    <x v="2"/>
    <x v="6"/>
    <s v="18:09:14"/>
    <n v="767.28"/>
    <n v="0"/>
    <n v="727.28"/>
    <n v="727.28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7689"/>
    <d v="2024-11-14T00:00:00"/>
    <s v="10:04:46"/>
    <s v="PID005"/>
    <n v="445.81"/>
    <n v="5"/>
    <s v="FLAT8"/>
    <n v="8"/>
    <n v="6"/>
    <s v="Before_time"/>
    <n v="70"/>
    <n v="3"/>
    <d v="2024-11-17T00:00:00"/>
    <x v="0"/>
    <x v="11"/>
    <s v="22:23:04"/>
    <n v="2120.7260000000001"/>
    <n v="178.32400000000001"/>
    <n v="2050.7260000000001"/>
    <n v="2229.0500000000002"/>
  </r>
  <r>
    <s v="CID109"/>
    <s v="Rachael Robinson "/>
    <s v="Rachael"/>
    <s v="Robinson"/>
    <n v="24"/>
    <s v="0-25"/>
    <x v="2"/>
    <s v="Dallas"/>
    <s v="rachael.robinson@rediffmail.com"/>
    <x v="1"/>
    <s v="0889 Brady Points, Port Meganhaven, NM 26553"/>
    <s v="OID8699"/>
    <d v="2023-04-29T00:00:00"/>
    <s v="02:22:40"/>
    <s v="PID040"/>
    <n v="110.95"/>
    <n v="5"/>
    <s v="FLAT20"/>
    <n v="20"/>
    <n v="5"/>
    <s v="Before_time"/>
    <n v="62"/>
    <n v="2"/>
    <d v="2023-05-01T00:00:00"/>
    <x v="2"/>
    <x v="2"/>
    <s v="00:47:16"/>
    <n v="505.8"/>
    <n v="110.95"/>
    <n v="443.8"/>
    <n v="554.75"/>
  </r>
  <r>
    <s v="CID136"/>
    <s v="Brittany Stewart "/>
    <s v="Brittany"/>
    <s v="Stewart"/>
    <n v="68"/>
    <s v="&gt;45"/>
    <x v="2"/>
    <s v="Dallas"/>
    <s v="brittany.stewart@gmail.com"/>
    <x v="2"/>
    <s v="6250 David Loaf Suite 561, North Pamelaberg, WV 63652"/>
    <s v="OID1317"/>
    <d v="2024-08-25T00:00:00"/>
    <s v="21:52:14"/>
    <s v="PID024"/>
    <n v="104.18"/>
    <n v="4"/>
    <s v="FLAT8"/>
    <n v="8"/>
    <n v="4"/>
    <s v="Late_Delivery"/>
    <n v="45"/>
    <n v="7"/>
    <d v="2024-09-01T00:00:00"/>
    <x v="0"/>
    <x v="4"/>
    <s v="10:43:13"/>
    <n v="428.38240000000002"/>
    <n v="33.337600000000002"/>
    <n v="383.38240000000002"/>
    <n v="416.72"/>
  </r>
  <r>
    <s v="CID199"/>
    <s v="Lori Cook "/>
    <s v="Lori"/>
    <s v="Cook"/>
    <n v="18"/>
    <s v="0-25"/>
    <x v="1"/>
    <s v="Houston"/>
    <s v="lori.cook@rediffmail.com"/>
    <x v="1"/>
    <s v="86837 Bell Meadows, North Jasonshire, UT 51354"/>
    <s v="OID2429"/>
    <d v="2024-08-31T00:00:00"/>
    <s v="08:31:11"/>
    <s v="PID004"/>
    <n v="496.59"/>
    <n v="4"/>
    <s v="FLAT20"/>
    <n v="20"/>
    <n v="1"/>
    <s v="Late_Delivery"/>
    <n v="59"/>
    <n v="6"/>
    <d v="2024-09-06T00:00:00"/>
    <x v="0"/>
    <x v="4"/>
    <s v="09:56:25"/>
    <n v="1648.088"/>
    <n v="397.27199999999999"/>
    <n v="1589.088"/>
    <n v="1986.36"/>
  </r>
  <r>
    <s v="CID101"/>
    <s v="Bobby Forbes "/>
    <s v="Bobby"/>
    <s v="Forbes"/>
    <n v="20"/>
    <s v="0-25"/>
    <x v="0"/>
    <s v="Los Angeles"/>
    <s v="bobby.forbes@gmail.com"/>
    <x v="2"/>
    <s v="3079 John Parkway Suite 961, Port Kristaview, MT 91019"/>
    <s v="OID4514"/>
    <d v="2023-02-24T00:00:00"/>
    <s v="20:48:48"/>
    <s v="PID002"/>
    <n v="107.47"/>
    <n v="5"/>
    <s v="FLAT20"/>
    <n v="20"/>
    <n v="6"/>
    <s v="On_time"/>
    <n v="48"/>
    <n v="6"/>
    <d v="2023-03-02T00:00:00"/>
    <x v="2"/>
    <x v="0"/>
    <s v="15:06:55"/>
    <n v="477.88000000000005"/>
    <n v="107.47"/>
    <n v="429.88000000000005"/>
    <n v="537.35"/>
  </r>
  <r>
    <s v="CID109"/>
    <s v="Rachael Robinson "/>
    <s v="Rachael"/>
    <s v="Robinson"/>
    <n v="24"/>
    <s v="0-25"/>
    <x v="2"/>
    <s v="Dallas"/>
    <s v="rachael.robinson@rediffmail.com"/>
    <x v="1"/>
    <s v="0889 Brady Points, Port Meganhaven, NM 26553"/>
    <s v="OID6237"/>
    <d v="2023-10-08T00:00:00"/>
    <s v="18:41:53"/>
    <s v="PID030"/>
    <n v="282.63"/>
    <n v="1"/>
    <s v="DEL0"/>
    <n v="0"/>
    <n v="5"/>
    <s v="Late_Delivery"/>
    <n v="45"/>
    <n v="7"/>
    <d v="2023-10-15T00:00:00"/>
    <x v="2"/>
    <x v="8"/>
    <s v="19:58:13"/>
    <n v="327.63"/>
    <n v="0"/>
    <n v="282.63"/>
    <n v="282.63"/>
  </r>
  <r>
    <s v="CID105"/>
    <s v="Joseph Stewart "/>
    <s v="Joseph"/>
    <s v="Stewart"/>
    <n v="30"/>
    <s v="26-35"/>
    <x v="1"/>
    <s v="Houston"/>
    <s v="joseph.stewart@yahoo.com"/>
    <x v="3"/>
    <s v="4082 Wang Terrace Suite 040, Victorialand, ME 41532"/>
    <s v="OID6752"/>
    <d v="2023-09-16T00:00:00"/>
    <s v="05:35:11"/>
    <s v="PID001"/>
    <n v="369.03"/>
    <n v="1"/>
    <s v="FLAT20"/>
    <n v="20"/>
    <n v="1"/>
    <s v="Late_Delivery"/>
    <n v="48"/>
    <n v="7"/>
    <d v="2023-09-23T00:00:00"/>
    <x v="2"/>
    <x v="4"/>
    <s v="04:56:02"/>
    <n v="343.22399999999999"/>
    <n v="73.805999999999997"/>
    <n v="295.22399999999999"/>
    <n v="369.03"/>
  </r>
  <r>
    <s v="CID178"/>
    <s v="Amy Reid "/>
    <s v="Amy"/>
    <s v="Reid"/>
    <n v="44"/>
    <s v="36-45"/>
    <x v="1"/>
    <s v="Los Angeles"/>
    <s v="amy.reid@rediffmail.com"/>
    <x v="1"/>
    <s v="6262 Simpson Village, North Danielle, RI 76074"/>
    <s v="OID7059"/>
    <d v="2024-08-09T00:00:00"/>
    <s v="11:01:20"/>
    <s v="PID024"/>
    <n v="104.18"/>
    <n v="2"/>
    <s v="DEL0"/>
    <n v="0"/>
    <n v="2"/>
    <s v="On_time"/>
    <n v="57"/>
    <n v="2"/>
    <d v="2024-08-11T00:00:00"/>
    <x v="0"/>
    <x v="10"/>
    <s v="12:21:09"/>
    <n v="265.36"/>
    <n v="0"/>
    <n v="208.36"/>
    <n v="208.36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6264"/>
    <d v="2024-09-15T00:00:00"/>
    <s v="08:29:32"/>
    <s v="PID039"/>
    <n v="220.27"/>
    <n v="2"/>
    <s v="FLAT20"/>
    <n v="20"/>
    <n v="1"/>
    <s v="Late_Delivery"/>
    <n v="42"/>
    <n v="2"/>
    <d v="2024-09-17T00:00:00"/>
    <x v="0"/>
    <x v="4"/>
    <s v="12:32:31"/>
    <n v="394.43200000000002"/>
    <n v="88.108000000000004"/>
    <n v="352.43200000000002"/>
    <n v="440.54"/>
  </r>
  <r>
    <s v="CID192"/>
    <s v="Brandon Cruz "/>
    <s v="Brandon"/>
    <s v="Cruz"/>
    <n v="32"/>
    <s v="26-35"/>
    <x v="2"/>
    <s v="Los Angeles"/>
    <s v="brandon.cruz@gmail.com"/>
    <x v="2"/>
    <s v="9296 Villanueva Branch, East Kevin, CO 93912"/>
    <s v="OID5366"/>
    <d v="2023-07-18T00:00:00"/>
    <s v="02:56:50"/>
    <s v="PID013"/>
    <n v="235.63"/>
    <n v="5"/>
    <s v="FLAT8"/>
    <n v="8"/>
    <n v="4"/>
    <s v="On_time"/>
    <n v="52"/>
    <n v="4"/>
    <d v="2023-07-22T00:00:00"/>
    <x v="2"/>
    <x v="9"/>
    <s v="05:26:37"/>
    <n v="1135.8980000000001"/>
    <n v="94.25200000000001"/>
    <n v="1083.8980000000001"/>
    <n v="1178.1500000000001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1663"/>
    <d v="2023-09-17T00:00:00"/>
    <s v="11:18:01"/>
    <s v="PID015"/>
    <n v="166.28"/>
    <n v="4"/>
    <s v="FLAT20"/>
    <n v="20"/>
    <n v="6"/>
    <s v="Late_Delivery"/>
    <n v="36"/>
    <n v="7"/>
    <d v="2023-09-24T00:00:00"/>
    <x v="2"/>
    <x v="4"/>
    <s v="06:56:11"/>
    <n v="568.096"/>
    <n v="133.024"/>
    <n v="532.096"/>
    <n v="665.12"/>
  </r>
  <r>
    <s v="CID105"/>
    <s v="Joseph Stewart "/>
    <s v="Joseph"/>
    <s v="Stewart"/>
    <n v="30"/>
    <s v="26-35"/>
    <x v="1"/>
    <s v="Houston"/>
    <s v="joseph.stewart@yahoo.com"/>
    <x v="3"/>
    <s v="4082 Wang Terrace Suite 040, Victorialand, ME 41532"/>
    <s v="OID7664"/>
    <d v="2023-07-13T00:00:00"/>
    <s v="03:11:30"/>
    <s v="PID031"/>
    <n v="405"/>
    <n v="5"/>
    <s v="FLAT10"/>
    <n v="10"/>
    <n v="6"/>
    <s v="Late_Delivery"/>
    <n v="36"/>
    <n v="7"/>
    <d v="2023-07-20T00:00:00"/>
    <x v="2"/>
    <x v="9"/>
    <s v="18:17:55"/>
    <n v="1858.5"/>
    <n v="202.5"/>
    <n v="1822.5"/>
    <n v="2025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4364"/>
    <d v="2024-10-26T00:00:00"/>
    <s v="04:35:15"/>
    <s v="PID007"/>
    <n v="257.06"/>
    <n v="2"/>
    <s v="FLAT15"/>
    <n v="15"/>
    <n v="7"/>
    <s v="Before_time"/>
    <n v="59"/>
    <n v="1"/>
    <d v="2024-10-27T00:00:00"/>
    <x v="0"/>
    <x v="8"/>
    <s v="15:55:56"/>
    <n v="496.00200000000001"/>
    <n v="77.117999999999995"/>
    <n v="437.00200000000001"/>
    <n v="514.12"/>
  </r>
  <r>
    <s v="CID109"/>
    <s v="Rachael Robinson "/>
    <s v="Rachael"/>
    <s v="Robinson"/>
    <n v="24"/>
    <s v="0-25"/>
    <x v="2"/>
    <s v="Dallas"/>
    <s v="rachael.robinson@rediffmail.com"/>
    <x v="1"/>
    <s v="0889 Brady Points, Port Meganhaven, NM 26553"/>
    <s v="OID1153"/>
    <d v="2024-08-21T00:00:00"/>
    <s v="08:45:48"/>
    <s v="PID010"/>
    <n v="44.5"/>
    <n v="4"/>
    <s v="FLAT8"/>
    <n v="8"/>
    <n v="5"/>
    <s v="Late_Delivery"/>
    <n v="40"/>
    <n v="6"/>
    <d v="2024-08-27T00:00:00"/>
    <x v="0"/>
    <x v="10"/>
    <s v="10:48:42"/>
    <n v="203.76000000000002"/>
    <n v="14.24"/>
    <n v="163.76000000000002"/>
    <n v="178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5700"/>
    <d v="2024-09-26T00:00:00"/>
    <s v="09:39:48"/>
    <s v="PID010"/>
    <n v="44.5"/>
    <n v="2"/>
    <s v="FLAT15"/>
    <n v="15"/>
    <n v="5"/>
    <s v="Before_time"/>
    <n v="52"/>
    <n v="2"/>
    <d v="2024-09-28T00:00:00"/>
    <x v="0"/>
    <x v="4"/>
    <s v="06:37:23"/>
    <n v="127.64999999999999"/>
    <n v="13.35"/>
    <n v="75.649999999999991"/>
    <n v="89"/>
  </r>
  <r>
    <s v="CID139"/>
    <s v="Joseph Gaines "/>
    <s v="Joseph"/>
    <s v="Gaines"/>
    <n v="47"/>
    <s v="&gt;45"/>
    <x v="2"/>
    <s v="New York"/>
    <s v="joseph.gaines@outlook.com"/>
    <x v="0"/>
    <s v="37549 Pope Isle Apt. 202, Tylerborough, MO 60042"/>
    <s v="OID1706"/>
    <d v="2023-05-05T00:00:00"/>
    <s v="19:48:44"/>
    <s v="PID021"/>
    <n v="129.75"/>
    <n v="5"/>
    <s v="DEL0"/>
    <n v="0"/>
    <n v="3"/>
    <s v="Late_Delivery"/>
    <n v="43"/>
    <n v="6"/>
    <d v="2023-05-11T00:00:00"/>
    <x v="2"/>
    <x v="2"/>
    <s v="16:27:41"/>
    <n v="691.75"/>
    <n v="0"/>
    <n v="648.75"/>
    <n v="648.75"/>
  </r>
  <r>
    <s v="CID123"/>
    <s v="Christy Chang "/>
    <s v="Christy"/>
    <s v="Chang"/>
    <n v="38"/>
    <s v="36-45"/>
    <x v="1"/>
    <s v="Dallas"/>
    <s v="christy.chang@outlook.com"/>
    <x v="0"/>
    <s v="4647 Hannah Centers, Rhodesburgh, NH 89363"/>
    <s v="OID6420"/>
    <d v="2024-01-27T00:00:00"/>
    <s v="18:18:32"/>
    <s v="PID018"/>
    <n v="62.42"/>
    <n v="4"/>
    <s v="FLAT20"/>
    <n v="20"/>
    <n v="4"/>
    <s v="Before_time"/>
    <n v="37"/>
    <n v="3"/>
    <d v="2024-01-30T00:00:00"/>
    <x v="0"/>
    <x v="5"/>
    <s v="10:39:26"/>
    <n v="236.74400000000003"/>
    <n v="49.936000000000007"/>
    <n v="199.74400000000003"/>
    <n v="249.68"/>
  </r>
  <r>
    <s v="CID107"/>
    <s v="Lisa Miller "/>
    <s v="Lisa"/>
    <s v="Miller"/>
    <n v="70"/>
    <s v="&gt;45"/>
    <x v="1"/>
    <s v="Los Angeles"/>
    <s v="lisa.miller@gmail.com"/>
    <x v="2"/>
    <s v="89748 Campbell Drive, South Tannerland, WI 13143"/>
    <s v="OID2659"/>
    <d v="2024-08-04T00:00:00"/>
    <s v="16:59:55"/>
    <s v="PID038"/>
    <n v="421.7"/>
    <n v="4"/>
    <s v="FLAT8"/>
    <n v="8"/>
    <n v="7"/>
    <s v="Before_time"/>
    <n v="69"/>
    <n v="6"/>
    <d v="2024-08-10T00:00:00"/>
    <x v="0"/>
    <x v="10"/>
    <s v="01:05:29"/>
    <n v="1620.856"/>
    <n v="134.94399999999999"/>
    <n v="1551.856"/>
    <n v="1686.8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5326"/>
    <d v="2024-10-15T00:00:00"/>
    <s v="13:40:51"/>
    <s v="PID045"/>
    <n v="33.49"/>
    <n v="1"/>
    <s v="DEL0"/>
    <n v="0"/>
    <n v="1"/>
    <s v="Late_Delivery"/>
    <n v="59"/>
    <n v="5"/>
    <d v="2024-10-20T00:00:00"/>
    <x v="0"/>
    <x v="8"/>
    <s v="00:35:18"/>
    <n v="92.490000000000009"/>
    <n v="0"/>
    <n v="33.49"/>
    <n v="33.49"/>
  </r>
  <r>
    <s v="CID127"/>
    <s v="Natasha Michael "/>
    <s v="Natasha"/>
    <s v="Michael"/>
    <n v="49"/>
    <s v="&gt;45"/>
    <x v="0"/>
    <s v="Houston"/>
    <s v="natasha.michael@gmail.com"/>
    <x v="2"/>
    <s v="78992 Justin Estates Suite 226, Floresberg, NM 40797"/>
    <s v="OID4465"/>
    <d v="2024-07-05T00:00:00"/>
    <s v="08:11:19"/>
    <s v="PID014"/>
    <n v="272.51"/>
    <n v="4"/>
    <s v="DEL0"/>
    <n v="0"/>
    <n v="1"/>
    <s v="Late_Delivery"/>
    <n v="51"/>
    <n v="2"/>
    <d v="2024-07-07T00:00:00"/>
    <x v="0"/>
    <x v="9"/>
    <s v="18:28:53"/>
    <n v="1141.04"/>
    <n v="0"/>
    <n v="1090.04"/>
    <n v="1090.04"/>
  </r>
  <r>
    <s v="CID103"/>
    <s v="Jason Nguyen "/>
    <s v="Jason"/>
    <s v="Nguyen"/>
    <n v="51"/>
    <s v="&gt;45"/>
    <x v="2"/>
    <s v="Miami"/>
    <s v="jason.nguyen@yahoo.com"/>
    <x v="3"/>
    <s v="7112 Travis Glens Suite 790, Crystalland, WV 38373"/>
    <s v="OID9324"/>
    <d v="2023-03-25T00:00:00"/>
    <s v="02:27:18"/>
    <s v="PID016"/>
    <n v="133.62"/>
    <n v="2"/>
    <s v="FLAT8"/>
    <n v="8"/>
    <n v="1"/>
    <s v="Late_Delivery"/>
    <n v="48"/>
    <n v="5"/>
    <d v="2023-03-30T00:00:00"/>
    <x v="2"/>
    <x v="0"/>
    <s v="04:48:38"/>
    <n v="293.86080000000004"/>
    <n v="21.379200000000001"/>
    <n v="245.86080000000001"/>
    <n v="267.24"/>
  </r>
  <r>
    <s v="CID188"/>
    <s v="Kristina Haynes "/>
    <s v="Kristina"/>
    <s v="Haynes"/>
    <n v="27"/>
    <s v="26-35"/>
    <x v="0"/>
    <s v="Houston"/>
    <s v="kristina.haynes@yahoo.com"/>
    <x v="3"/>
    <s v="18295 Thomas River, Kochville, NH 80868"/>
    <s v="OID9267"/>
    <d v="2023-07-25T00:00:00"/>
    <s v="05:33:41"/>
    <s v="PID007"/>
    <n v="257.06"/>
    <n v="4"/>
    <s v="DEL0"/>
    <n v="0"/>
    <n v="5"/>
    <s v="Before_time"/>
    <n v="52"/>
    <n v="4"/>
    <d v="2023-07-29T00:00:00"/>
    <x v="2"/>
    <x v="9"/>
    <s v="13:20:58"/>
    <n v="1080.24"/>
    <n v="0"/>
    <n v="1028.24"/>
    <n v="1028.24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5402"/>
    <d v="2024-06-14T00:00:00"/>
    <s v="18:14:45"/>
    <s v="PID044"/>
    <n v="20"/>
    <n v="5"/>
    <s v="FLAT15"/>
    <n v="15"/>
    <n v="6"/>
    <s v="On_time"/>
    <n v="36"/>
    <n v="6"/>
    <d v="2024-06-20T00:00:00"/>
    <x v="0"/>
    <x v="6"/>
    <s v="13:20:38"/>
    <n v="121"/>
    <n v="15"/>
    <n v="85"/>
    <n v="100"/>
  </r>
  <r>
    <s v="CID170"/>
    <s v="Bruce Allen "/>
    <s v="Bruce"/>
    <s v="Allen"/>
    <n v="32"/>
    <s v="26-35"/>
    <x v="1"/>
    <s v="Phoenix"/>
    <s v="bruce.allen@rediffmail.com"/>
    <x v="1"/>
    <s v="2417 Brown Ford, West Timothyside, RI 45629"/>
    <s v="OID8716"/>
    <d v="2024-02-21T00:00:00"/>
    <s v="03:08:05"/>
    <s v="PID013"/>
    <n v="235.63"/>
    <n v="3"/>
    <s v="FLAT10"/>
    <n v="10"/>
    <n v="5"/>
    <s v="Before_time"/>
    <n v="44"/>
    <n v="4"/>
    <d v="2024-02-25T00:00:00"/>
    <x v="0"/>
    <x v="1"/>
    <s v="04:04:13"/>
    <n v="680.20100000000002"/>
    <n v="70.688999999999993"/>
    <n v="636.20100000000002"/>
    <n v="706.89"/>
  </r>
  <r>
    <s v="CID186"/>
    <s v="Anne Oconnell "/>
    <s v="Anne"/>
    <s v="Oconnell"/>
    <n v="37"/>
    <s v="36-45"/>
    <x v="0"/>
    <s v="Phoenix"/>
    <s v="anne.oconnell@outlook.com"/>
    <x v="0"/>
    <s v="2850 Matthew Ford, North Yolandachester, FL 67488"/>
    <s v="OID4014"/>
    <d v="2023-06-18T00:00:00"/>
    <s v="21:06:59"/>
    <s v="PID016"/>
    <n v="133.62"/>
    <n v="5"/>
    <s v="DEL0"/>
    <n v="0"/>
    <n v="7"/>
    <s v="Before_time"/>
    <n v="58"/>
    <n v="3"/>
    <d v="2023-06-21T00:00:00"/>
    <x v="2"/>
    <x v="6"/>
    <s v="00:33:10"/>
    <n v="726.1"/>
    <n v="0"/>
    <n v="668.1"/>
    <n v="668.1"/>
  </r>
  <r>
    <s v="CID153"/>
    <s v="Mitchell Parker "/>
    <s v="Mitchell"/>
    <s v="Parker"/>
    <n v="39"/>
    <s v="36-45"/>
    <x v="2"/>
    <s v="Houston"/>
    <s v="mitchell.parker@yahoo.com"/>
    <x v="3"/>
    <s v="PSC 3316, Box 9303, APO AE 29513"/>
    <s v="OID8569"/>
    <d v="2024-12-25T00:00:00"/>
    <s v="14:49:31"/>
    <s v="PID038"/>
    <n v="421.7"/>
    <n v="2"/>
    <s v="FLAT8"/>
    <n v="8"/>
    <n v="5"/>
    <s v="Before_time"/>
    <n v="45"/>
    <n v="2"/>
    <d v="2024-12-27T00:00:00"/>
    <x v="0"/>
    <x v="7"/>
    <s v="04:10:37"/>
    <n v="820.928"/>
    <n v="67.471999999999994"/>
    <n v="775.928"/>
    <n v="843.4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6330"/>
    <d v="2024-06-12T00:00:00"/>
    <s v="19:40:44"/>
    <s v="PID041"/>
    <n v="372.62"/>
    <n v="1"/>
    <s v="FLAT15"/>
    <n v="15"/>
    <n v="3"/>
    <s v="On_time"/>
    <n v="35"/>
    <n v="3"/>
    <d v="2024-06-15T00:00:00"/>
    <x v="0"/>
    <x v="6"/>
    <s v="16:30:13"/>
    <n v="351.72699999999998"/>
    <n v="55.893000000000001"/>
    <n v="316.72699999999998"/>
    <n v="372.62"/>
  </r>
  <r>
    <s v="CID192"/>
    <s v="Brandon Cruz "/>
    <s v="Brandon"/>
    <s v="Cruz"/>
    <n v="32"/>
    <s v="26-35"/>
    <x v="2"/>
    <s v="Los Angeles"/>
    <s v="brandon.cruz@gmail.com"/>
    <x v="2"/>
    <s v="9296 Villanueva Branch, East Kevin, CO 93912"/>
    <s v="OID6607"/>
    <d v="2024-06-12T00:00:00"/>
    <s v="16:25:28"/>
    <s v="PID046"/>
    <n v="363.64"/>
    <n v="3"/>
    <s v="DEL0"/>
    <n v="0"/>
    <n v="3"/>
    <s v="Late_Delivery"/>
    <n v="70"/>
    <n v="6"/>
    <d v="2024-06-18T00:00:00"/>
    <x v="0"/>
    <x v="6"/>
    <s v="13:33:22"/>
    <n v="1160.92"/>
    <n v="0"/>
    <n v="1090.92"/>
    <n v="1090.92"/>
  </r>
  <r>
    <s v="CID159"/>
    <s v="Christine West "/>
    <s v="Christine"/>
    <s v="West"/>
    <n v="53"/>
    <s v="&gt;45"/>
    <x v="2"/>
    <s v="New York"/>
    <s v="christine.west@gmail.com"/>
    <x v="2"/>
    <s v="Unit 1433 Box 0246, DPO AP 94952"/>
    <s v="OID4892"/>
    <d v="2024-09-26T00:00:00"/>
    <s v="05:57:45"/>
    <s v="PID043"/>
    <n v="330.11"/>
    <n v="4"/>
    <s v="FLAT20"/>
    <n v="20"/>
    <n v="4"/>
    <s v="Late_Delivery"/>
    <n v="47"/>
    <n v="5"/>
    <d v="2024-10-01T00:00:00"/>
    <x v="0"/>
    <x v="8"/>
    <s v="08:04:55"/>
    <n v="1103.3520000000001"/>
    <n v="264.08800000000002"/>
    <n v="1056.3520000000001"/>
    <n v="1320.44"/>
  </r>
  <r>
    <s v="CID120"/>
    <s v="Jenny Estrada "/>
    <s v="Jenny"/>
    <s v="Estrada"/>
    <n v="45"/>
    <s v="36-45"/>
    <x v="0"/>
    <s v="Houston"/>
    <s v="jenny.estrada@yahoo.com"/>
    <x v="3"/>
    <s v="792 Carlos Islands, West David, CT 16522"/>
    <s v="OID9692"/>
    <d v="2023-06-22T00:00:00"/>
    <s v="13:16:36"/>
    <s v="PID002"/>
    <n v="107.47"/>
    <n v="1"/>
    <s v="FLAT10"/>
    <n v="10"/>
    <n v="5"/>
    <s v="On_time"/>
    <n v="56"/>
    <n v="5"/>
    <d v="2023-06-27T00:00:00"/>
    <x v="2"/>
    <x v="6"/>
    <s v="23:44:01"/>
    <n v="152.72300000000001"/>
    <n v="10.747"/>
    <n v="96.722999999999999"/>
    <n v="107.47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4746"/>
    <d v="2024-10-21T00:00:00"/>
    <s v="07:44:52"/>
    <s v="PID028"/>
    <n v="126.19"/>
    <n v="1"/>
    <s v="FLAT20"/>
    <n v="20"/>
    <n v="5"/>
    <s v="Before_time"/>
    <n v="68"/>
    <n v="2"/>
    <d v="2024-10-23T00:00:00"/>
    <x v="0"/>
    <x v="8"/>
    <s v="00:28:50"/>
    <n v="168.952"/>
    <n v="25.238000000000003"/>
    <n v="100.952"/>
    <n v="126.19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6057"/>
    <d v="2023-05-14T00:00:00"/>
    <s v="12:51:15"/>
    <s v="PID029"/>
    <n v="381.73"/>
    <n v="2"/>
    <s v="DEL0"/>
    <n v="0"/>
    <n v="5"/>
    <s v="Late_Delivery"/>
    <n v="38"/>
    <n v="6"/>
    <d v="2023-05-20T00:00:00"/>
    <x v="2"/>
    <x v="2"/>
    <s v="23:34:55"/>
    <n v="801.46"/>
    <n v="0"/>
    <n v="763.46"/>
    <n v="763.46"/>
  </r>
  <r>
    <s v="CID134"/>
    <s v="Debra Hayes "/>
    <s v="Debra"/>
    <s v="Hayes"/>
    <n v="33"/>
    <s v="26-35"/>
    <x v="0"/>
    <s v="San Francisco"/>
    <s v="debra.hayes@yahoo.com"/>
    <x v="3"/>
    <s v="4601 Miller Lock, Williamsbury, IA 10943"/>
    <s v="OID3134"/>
    <d v="2023-05-23T00:00:00"/>
    <s v="22:55:27"/>
    <s v="PID011"/>
    <n v="292.14999999999998"/>
    <n v="5"/>
    <s v="FLAT10"/>
    <n v="10"/>
    <n v="6"/>
    <s v="Before_time"/>
    <n v="68"/>
    <n v="2"/>
    <d v="2023-05-25T00:00:00"/>
    <x v="2"/>
    <x v="2"/>
    <s v="22:37:23"/>
    <n v="1382.675"/>
    <n v="146.07499999999999"/>
    <n v="1314.675"/>
    <n v="1460.75"/>
  </r>
  <r>
    <s v="CID153"/>
    <s v="Mitchell Parker "/>
    <s v="Mitchell"/>
    <s v="Parker"/>
    <n v="39"/>
    <s v="36-45"/>
    <x v="2"/>
    <s v="Houston"/>
    <s v="mitchell.parker@yahoo.com"/>
    <x v="3"/>
    <s v="PSC 3316, Box 9303, APO AE 29513"/>
    <s v="OID7980"/>
    <d v="2023-04-20T00:00:00"/>
    <s v="01:31:08"/>
    <s v="PID048"/>
    <n v="136.30000000000001"/>
    <n v="3"/>
    <s v="FLAT15"/>
    <n v="15"/>
    <n v="6"/>
    <s v="Late_Delivery"/>
    <n v="42"/>
    <n v="7"/>
    <d v="2023-04-27T00:00:00"/>
    <x v="2"/>
    <x v="3"/>
    <s v="14:39:46"/>
    <n v="389.565"/>
    <n v="61.335000000000008"/>
    <n v="347.565"/>
    <n v="408.90000000000003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7432"/>
    <d v="2023-10-09T00:00:00"/>
    <s v="15:02:28"/>
    <s v="PID025"/>
    <n v="403.03"/>
    <n v="3"/>
    <s v="FLAT15"/>
    <n v="15"/>
    <n v="4"/>
    <s v="Late_Delivery"/>
    <n v="67"/>
    <n v="5"/>
    <d v="2023-10-14T00:00:00"/>
    <x v="2"/>
    <x v="8"/>
    <s v="04:23:57"/>
    <n v="1094.7265"/>
    <n v="181.36349999999999"/>
    <n v="1027.7265"/>
    <n v="1209.0899999999999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9465"/>
    <d v="2023-11-11T00:00:00"/>
    <s v="06:54:02"/>
    <s v="PID005"/>
    <n v="445.81"/>
    <n v="2"/>
    <s v="DEL0"/>
    <n v="0"/>
    <n v="7"/>
    <s v="Before_time"/>
    <n v="67"/>
    <n v="1"/>
    <d v="2023-11-12T00:00:00"/>
    <x v="2"/>
    <x v="11"/>
    <s v="12:39:46"/>
    <n v="958.62"/>
    <n v="0"/>
    <n v="891.62"/>
    <n v="891.62"/>
  </r>
  <r>
    <s v="CID189"/>
    <s v="Christine Aguilar "/>
    <s v="Christine"/>
    <s v="Aguilar"/>
    <n v="46"/>
    <s v="&gt;45"/>
    <x v="0"/>
    <s v="Phoenix"/>
    <s v="christine.aguilar@gmail.com"/>
    <x v="2"/>
    <s v="3284 Martin Neck, Lopezville, NY 69154"/>
    <s v="OID9872"/>
    <d v="2023-05-05T00:00:00"/>
    <s v="08:20:59"/>
    <s v="PID021"/>
    <n v="129.75"/>
    <n v="5"/>
    <s v="FLAT20"/>
    <n v="20"/>
    <n v="6"/>
    <s v="On_time"/>
    <n v="38"/>
    <n v="6"/>
    <d v="2023-05-11T00:00:00"/>
    <x v="2"/>
    <x v="2"/>
    <s v="17:38:42"/>
    <n v="557"/>
    <n v="129.75"/>
    <n v="519"/>
    <n v="648.75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6856"/>
    <d v="2023-12-22T00:00:00"/>
    <s v="14:00:27"/>
    <s v="PID045"/>
    <n v="33.49"/>
    <n v="3"/>
    <s v="FLAT15"/>
    <n v="15"/>
    <n v="2"/>
    <s v="On_time"/>
    <n v="62"/>
    <n v="2"/>
    <d v="2023-12-24T00:00:00"/>
    <x v="2"/>
    <x v="7"/>
    <s v="12:31:34"/>
    <n v="147.39949999999999"/>
    <n v="15.070499999999999"/>
    <n v="85.399500000000003"/>
    <n v="100.47"/>
  </r>
  <r>
    <s v="CID192"/>
    <s v="Brandon Cruz "/>
    <s v="Brandon"/>
    <s v="Cruz"/>
    <n v="32"/>
    <s v="26-35"/>
    <x v="2"/>
    <s v="Los Angeles"/>
    <s v="brandon.cruz@gmail.com"/>
    <x v="2"/>
    <s v="9296 Villanueva Branch, East Kevin, CO 93912"/>
    <s v="OID1826"/>
    <d v="2025-02-01T00:00:00"/>
    <s v="15:26:43"/>
    <s v="PID043"/>
    <n v="330.11"/>
    <n v="4"/>
    <s v="FLAT20"/>
    <n v="20"/>
    <n v="2"/>
    <s v="Late_Delivery"/>
    <n v="69"/>
    <n v="6"/>
    <d v="2025-02-07T00:00:00"/>
    <x v="1"/>
    <x v="1"/>
    <s v="23:02:25"/>
    <n v="1125.3520000000001"/>
    <n v="264.08800000000002"/>
    <n v="1056.3520000000001"/>
    <n v="1320.44"/>
  </r>
  <r>
    <s v="CID181"/>
    <s v="Alexandra Smith "/>
    <s v="Alexandra"/>
    <s v="Smith"/>
    <n v="70"/>
    <s v="&gt;45"/>
    <x v="0"/>
    <s v="Phoenix"/>
    <s v="alexandra.smith@rediffmail.com"/>
    <x v="1"/>
    <s v="48611 Clark Village, West Anne, GA 92865"/>
    <s v="OID3421"/>
    <d v="2023-04-29T00:00:00"/>
    <s v="22:25:26"/>
    <s v="PID023"/>
    <n v="202.54"/>
    <n v="5"/>
    <s v="FLAT15"/>
    <n v="15"/>
    <n v="1"/>
    <s v="Late_Delivery"/>
    <n v="47"/>
    <n v="6"/>
    <d v="2023-05-05T00:00:00"/>
    <x v="2"/>
    <x v="2"/>
    <s v="20:52:06"/>
    <n v="907.79499999999996"/>
    <n v="151.90499999999997"/>
    <n v="860.79499999999996"/>
    <n v="1012.6999999999999"/>
  </r>
  <r>
    <s v="CID145"/>
    <s v="Ashley Romero "/>
    <s v="Ashley"/>
    <s v="Romero"/>
    <n v="35"/>
    <s v="26-35"/>
    <x v="0"/>
    <s v="Phoenix"/>
    <s v="ashley.romero@yahoo.com"/>
    <x v="3"/>
    <s v="547 Kerry Expressway, Lake Amanda, AR 20321"/>
    <s v="OID6869"/>
    <d v="2023-11-23T00:00:00"/>
    <s v="00:02:50"/>
    <s v="PID015"/>
    <n v="166.28"/>
    <n v="4"/>
    <s v="FLAT10"/>
    <n v="10"/>
    <n v="4"/>
    <s v="On_time"/>
    <n v="44"/>
    <n v="4"/>
    <d v="2023-11-27T00:00:00"/>
    <x v="2"/>
    <x v="11"/>
    <s v="20:49:10"/>
    <n v="642.60800000000006"/>
    <n v="66.512"/>
    <n v="598.60800000000006"/>
    <n v="665.12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6635"/>
    <d v="2024-08-19T00:00:00"/>
    <s v="22:46:23"/>
    <s v="PID011"/>
    <n v="292.14999999999998"/>
    <n v="2"/>
    <s v="FLAT15"/>
    <n v="15"/>
    <n v="4"/>
    <s v="Before_time"/>
    <n v="58"/>
    <n v="3"/>
    <d v="2024-08-22T00:00:00"/>
    <x v="0"/>
    <x v="10"/>
    <s v="08:30:57"/>
    <n v="554.65499999999997"/>
    <n v="87.644999999999996"/>
    <n v="496.65499999999997"/>
    <n v="584.29999999999995"/>
  </r>
  <r>
    <s v="CID189"/>
    <s v="Christine Aguilar "/>
    <s v="Christine"/>
    <s v="Aguilar"/>
    <n v="46"/>
    <s v="&gt;45"/>
    <x v="0"/>
    <s v="Phoenix"/>
    <s v="christine.aguilar@gmail.com"/>
    <x v="2"/>
    <s v="3284 Martin Neck, Lopezville, NY 69154"/>
    <s v="OID8295"/>
    <d v="2024-07-08T00:00:00"/>
    <s v="08:00:47"/>
    <s v="PID014"/>
    <n v="272.51"/>
    <n v="4"/>
    <s v="DEL0"/>
    <n v="0"/>
    <n v="7"/>
    <s v="Before_time"/>
    <n v="38"/>
    <n v="1"/>
    <d v="2024-07-09T00:00:00"/>
    <x v="0"/>
    <x v="9"/>
    <s v="17:20:58"/>
    <n v="1128.04"/>
    <n v="0"/>
    <n v="1090.04"/>
    <n v="1090.04"/>
  </r>
  <r>
    <s v="CID120"/>
    <s v="Jenny Estrada "/>
    <s v="Jenny"/>
    <s v="Estrada"/>
    <n v="45"/>
    <s v="36-45"/>
    <x v="0"/>
    <s v="Houston"/>
    <s v="jenny.estrada@yahoo.com"/>
    <x v="3"/>
    <s v="792 Carlos Islands, West David, CT 16522"/>
    <s v="OID4642"/>
    <d v="2023-06-02T00:00:00"/>
    <s v="09:33:35"/>
    <s v="PID036"/>
    <n v="157.63999999999999"/>
    <n v="3"/>
    <s v="FLAT20"/>
    <n v="20"/>
    <n v="2"/>
    <s v="Late_Delivery"/>
    <n v="47"/>
    <n v="6"/>
    <d v="2023-06-08T00:00:00"/>
    <x v="2"/>
    <x v="6"/>
    <s v="13:06:14"/>
    <n v="425.33600000000001"/>
    <n v="94.584000000000003"/>
    <n v="378.33600000000001"/>
    <n v="472.91999999999996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7380"/>
    <d v="2023-05-07T00:00:00"/>
    <s v="00:13:11"/>
    <s v="PID018"/>
    <n v="62.42"/>
    <n v="3"/>
    <s v="FLAT15"/>
    <n v="15"/>
    <n v="5"/>
    <s v="On_time"/>
    <n v="62"/>
    <n v="5"/>
    <d v="2023-05-12T00:00:00"/>
    <x v="2"/>
    <x v="2"/>
    <s v="18:31:17"/>
    <n v="221.17099999999999"/>
    <n v="28.088999999999995"/>
    <n v="159.17099999999999"/>
    <n v="187.26"/>
  </r>
  <r>
    <s v="CID175"/>
    <s v="Katherine Weber "/>
    <s v="Katherine"/>
    <s v="Weber"/>
    <n v="42"/>
    <s v="36-45"/>
    <x v="2"/>
    <s v="New York"/>
    <s v="katherine.weber@outlook.com"/>
    <x v="0"/>
    <s v="04887 Kimberly Union Apt. 645, Port Laura, IL 97219"/>
    <s v="OID1086"/>
    <d v="2024-07-22T00:00:00"/>
    <s v="20:01:38"/>
    <s v="PID046"/>
    <n v="363.64"/>
    <n v="3"/>
    <s v="FLAT8"/>
    <n v="8"/>
    <n v="5"/>
    <s v="Late_Delivery"/>
    <n v="53"/>
    <n v="7"/>
    <d v="2024-07-29T00:00:00"/>
    <x v="0"/>
    <x v="9"/>
    <s v="12:58:48"/>
    <n v="1056.6464000000001"/>
    <n v="87.273600000000002"/>
    <n v="1003.6464000000001"/>
    <n v="1090.92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6936"/>
    <d v="2023-07-18T00:00:00"/>
    <s v="06:33:55"/>
    <s v="PID006"/>
    <n v="477.52"/>
    <n v="4"/>
    <s v="FLAT20"/>
    <n v="20"/>
    <n v="5"/>
    <s v="Before_time"/>
    <n v="55"/>
    <n v="2"/>
    <d v="2023-07-20T00:00:00"/>
    <x v="2"/>
    <x v="9"/>
    <s v="13:05:17"/>
    <n v="1583.0640000000001"/>
    <n v="382.01599999999996"/>
    <n v="1528.0640000000001"/>
    <n v="1910.08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2938"/>
    <d v="2023-08-30T00:00:00"/>
    <s v="19:46:32"/>
    <s v="PID028"/>
    <n v="126.19"/>
    <n v="2"/>
    <s v="DEL0"/>
    <n v="0"/>
    <n v="5"/>
    <s v="Late_Delivery"/>
    <n v="59"/>
    <n v="6"/>
    <d v="2023-09-05T00:00:00"/>
    <x v="2"/>
    <x v="4"/>
    <s v="23:22:12"/>
    <n v="311.38"/>
    <n v="0"/>
    <n v="252.38"/>
    <n v="252.38"/>
  </r>
  <r>
    <s v="CID185"/>
    <s v="Melissa Levy "/>
    <s v="Melissa"/>
    <s v="Levy"/>
    <n v="30"/>
    <s v="26-35"/>
    <x v="0"/>
    <s v="Chicago"/>
    <s v="melissa.levy@rediffmail.com"/>
    <x v="1"/>
    <s v="3303 Kennedy Springs Suite 830, East Amybury, MI 95595"/>
    <s v="OID8074"/>
    <d v="2024-01-29T00:00:00"/>
    <s v="20:47:44"/>
    <s v="PID009"/>
    <n v="87.09"/>
    <n v="1"/>
    <s v="FLAT10"/>
    <n v="10"/>
    <n v="1"/>
    <s v="On_time"/>
    <n v="61"/>
    <n v="1"/>
    <d v="2024-01-30T00:00:00"/>
    <x v="0"/>
    <x v="5"/>
    <s v="00:16:22"/>
    <n v="139.381"/>
    <n v="8.7090000000000014"/>
    <n v="78.381"/>
    <n v="87.09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1076"/>
    <d v="2023-05-28T00:00:00"/>
    <s v="14:37:23"/>
    <s v="PID040"/>
    <n v="110.95"/>
    <n v="3"/>
    <s v="FLAT10"/>
    <n v="10"/>
    <n v="6"/>
    <s v="Before_time"/>
    <n v="65"/>
    <n v="5"/>
    <d v="2023-06-02T00:00:00"/>
    <x v="2"/>
    <x v="6"/>
    <s v="01:58:28"/>
    <n v="364.56500000000005"/>
    <n v="33.284999999999997"/>
    <n v="299.56500000000005"/>
    <n v="332.85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8347"/>
    <d v="2023-12-25T00:00:00"/>
    <s v="00:08:51"/>
    <s v="PID045"/>
    <n v="33.49"/>
    <n v="1"/>
    <s v="FLAT8"/>
    <n v="8"/>
    <n v="2"/>
    <s v="Before_time"/>
    <n v="67"/>
    <n v="1"/>
    <d v="2023-12-26T00:00:00"/>
    <x v="2"/>
    <x v="7"/>
    <s v="10:47:50"/>
    <n v="97.8108"/>
    <n v="2.6792000000000002"/>
    <n v="30.810800000000004"/>
    <n v="33.49"/>
  </r>
  <r>
    <s v="CID135"/>
    <s v="Amanda Howard "/>
    <s v="Amanda"/>
    <s v="Howard"/>
    <n v="52"/>
    <s v="&gt;45"/>
    <x v="2"/>
    <s v="Dallas"/>
    <s v="amanda.howard@outlook.com"/>
    <x v="0"/>
    <s v="56908 Sydney Park Suite 632, West Anthonyport, NC 15954"/>
    <s v="OID6373"/>
    <d v="2023-03-16T00:00:00"/>
    <s v="09:31:27"/>
    <s v="PID017"/>
    <n v="425.59"/>
    <n v="3"/>
    <s v="FLAT8"/>
    <n v="8"/>
    <n v="7"/>
    <s v="Before_time"/>
    <n v="68"/>
    <n v="4"/>
    <d v="2023-03-20T00:00:00"/>
    <x v="2"/>
    <x v="0"/>
    <s v="22:18:21"/>
    <n v="1242.6284000000001"/>
    <n v="102.1416"/>
    <n v="1174.6284000000001"/>
    <n v="1276.77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5913"/>
    <d v="2023-04-23T00:00:00"/>
    <s v="09:46:43"/>
    <s v="PID049"/>
    <n v="441.03"/>
    <n v="5"/>
    <s v="FLAT15"/>
    <n v="15"/>
    <n v="3"/>
    <s v="Late_Delivery"/>
    <n v="37"/>
    <n v="5"/>
    <d v="2023-04-28T00:00:00"/>
    <x v="2"/>
    <x v="3"/>
    <s v="06:31:08"/>
    <n v="1911.3774999999996"/>
    <n v="330.77249999999992"/>
    <n v="1874.3774999999996"/>
    <n v="2205.1499999999996"/>
  </r>
  <r>
    <s v="CID103"/>
    <s v="Jason Nguyen "/>
    <s v="Jason"/>
    <s v="Nguyen"/>
    <n v="51"/>
    <s v="&gt;45"/>
    <x v="2"/>
    <s v="Miami"/>
    <s v="jason.nguyen@yahoo.com"/>
    <x v="3"/>
    <s v="7112 Travis Glens Suite 790, Crystalland, WV 38373"/>
    <s v="OID2941"/>
    <d v="2024-02-17T00:00:00"/>
    <s v="21:17:39"/>
    <s v="PID021"/>
    <n v="129.75"/>
    <n v="3"/>
    <s v="FLAT15"/>
    <n v="15"/>
    <n v="5"/>
    <s v="Before_time"/>
    <n v="37"/>
    <n v="2"/>
    <d v="2024-02-19T00:00:00"/>
    <x v="0"/>
    <x v="1"/>
    <s v="06:07:50"/>
    <n v="367.86250000000001"/>
    <n v="58.387500000000003"/>
    <n v="330.86250000000001"/>
    <n v="389.25"/>
  </r>
  <r>
    <s v="CID104"/>
    <s v="Gary Huff "/>
    <s v="Gary"/>
    <s v="Huff"/>
    <n v="18"/>
    <s v="0-25"/>
    <x v="0"/>
    <s v="New York"/>
    <s v="gary.huff@gmail.com"/>
    <x v="2"/>
    <s v="58608 Alexander Terrace, South Bryan, SC 85541"/>
    <s v="OID9627"/>
    <d v="2024-02-27T00:00:00"/>
    <s v="12:28:28"/>
    <s v="PID013"/>
    <n v="235.63"/>
    <n v="1"/>
    <s v="FLAT8"/>
    <n v="8"/>
    <n v="6"/>
    <s v="Before_time"/>
    <n v="58"/>
    <n v="5"/>
    <d v="2024-03-03T00:00:00"/>
    <x v="0"/>
    <x v="0"/>
    <s v="12:21:43"/>
    <n v="274.77960000000002"/>
    <n v="18.8504"/>
    <n v="216.77960000000002"/>
    <n v="235.63"/>
  </r>
  <r>
    <s v="CID137"/>
    <s v="Gina Moreno "/>
    <s v="Gina"/>
    <s v="Moreno"/>
    <n v="36"/>
    <s v="36-45"/>
    <x v="2"/>
    <s v="Miami"/>
    <s v="gina.moreno@rediffmail.com"/>
    <x v="1"/>
    <s v="USS Murray, FPO AP 66559"/>
    <s v="OID9705"/>
    <d v="2024-09-14T00:00:00"/>
    <s v="03:29:39"/>
    <s v="PID048"/>
    <n v="136.30000000000001"/>
    <n v="2"/>
    <s v="FLAT20"/>
    <n v="20"/>
    <n v="7"/>
    <s v="Before_time"/>
    <n v="51"/>
    <n v="1"/>
    <d v="2024-09-15T00:00:00"/>
    <x v="0"/>
    <x v="4"/>
    <s v="23:33:34"/>
    <n v="269.08000000000004"/>
    <n v="54.52"/>
    <n v="218.08000000000004"/>
    <n v="272.60000000000002"/>
  </r>
  <r>
    <s v="CID136"/>
    <s v="Brittany Stewart "/>
    <s v="Brittany"/>
    <s v="Stewart"/>
    <n v="68"/>
    <s v="&gt;45"/>
    <x v="2"/>
    <s v="Dallas"/>
    <s v="brittany.stewart@gmail.com"/>
    <x v="2"/>
    <s v="6250 David Loaf Suite 561, North Pamelaberg, WV 63652"/>
    <s v="OID7486"/>
    <d v="2023-07-05T00:00:00"/>
    <s v="18:27:23"/>
    <s v="PID002"/>
    <n v="107.47"/>
    <n v="4"/>
    <s v="FLAT20"/>
    <n v="20"/>
    <n v="5"/>
    <s v="Before_time"/>
    <n v="51"/>
    <n v="3"/>
    <d v="2023-07-08T00:00:00"/>
    <x v="2"/>
    <x v="9"/>
    <s v="12:42:53"/>
    <n v="394.904"/>
    <n v="85.975999999999999"/>
    <n v="343.904"/>
    <n v="429.88"/>
  </r>
  <r>
    <s v="CID109"/>
    <s v="Rachael Robinson "/>
    <s v="Rachael"/>
    <s v="Robinson"/>
    <n v="24"/>
    <s v="0-25"/>
    <x v="2"/>
    <s v="Dallas"/>
    <s v="rachael.robinson@rediffmail.com"/>
    <x v="1"/>
    <s v="0889 Brady Points, Port Meganhaven, NM 26553"/>
    <s v="OID4560"/>
    <d v="2023-12-11T00:00:00"/>
    <s v="14:41:09"/>
    <s v="PID034"/>
    <n v="275.44"/>
    <n v="2"/>
    <s v="FLAT8"/>
    <n v="8"/>
    <n v="2"/>
    <s v="Late_Delivery"/>
    <n v="36"/>
    <n v="5"/>
    <d v="2023-12-16T00:00:00"/>
    <x v="2"/>
    <x v="7"/>
    <s v="07:56:25"/>
    <n v="542.80960000000005"/>
    <n v="44.070399999999999"/>
    <n v="506.80960000000005"/>
    <n v="550.88"/>
  </r>
  <r>
    <s v="CID112"/>
    <s v="Lindsey Byrd "/>
    <s v="Lindsey"/>
    <s v="Byrd"/>
    <n v="32"/>
    <s v="26-35"/>
    <x v="0"/>
    <s v="Chicago"/>
    <s v="lindsey.byrd@rediffmail.com"/>
    <x v="1"/>
    <s v="USCGC Harper, FPO AA 38349"/>
    <s v="OID1379"/>
    <d v="2024-10-23T00:00:00"/>
    <s v="11:50:19"/>
    <s v="PID002"/>
    <n v="107.47"/>
    <n v="2"/>
    <s v="FLAT15"/>
    <n v="15"/>
    <n v="5"/>
    <s v="Before_time"/>
    <n v="55"/>
    <n v="4"/>
    <d v="2024-10-27T00:00:00"/>
    <x v="0"/>
    <x v="8"/>
    <s v="11:48:40"/>
    <n v="237.69899999999998"/>
    <n v="32.241"/>
    <n v="182.69899999999998"/>
    <n v="214.94"/>
  </r>
  <r>
    <s v="CID149"/>
    <s v="Angela Horne "/>
    <s v="Angela"/>
    <s v="Horne"/>
    <n v="49"/>
    <s v="&gt;45"/>
    <x v="2"/>
    <s v="Phoenix"/>
    <s v="angela.horne@outlook.com"/>
    <x v="0"/>
    <s v="USNV Mueller, FPO AP 54648"/>
    <s v="OID8114"/>
    <d v="2024-10-13T00:00:00"/>
    <s v="10:24:24"/>
    <s v="PID050"/>
    <n v="158.53"/>
    <n v="5"/>
    <s v="FLAT8"/>
    <n v="8"/>
    <n v="2"/>
    <s v="Late_Delivery"/>
    <n v="64"/>
    <n v="4"/>
    <d v="2024-10-17T00:00:00"/>
    <x v="0"/>
    <x v="8"/>
    <s v="20:08:57"/>
    <n v="793.23800000000006"/>
    <n v="63.411999999999999"/>
    <n v="729.23800000000006"/>
    <n v="792.65"/>
  </r>
  <r>
    <s v="CID179"/>
    <s v="Christian Clayton "/>
    <s v="Christian"/>
    <s v="Clayton"/>
    <n v="39"/>
    <s v="36-45"/>
    <x v="1"/>
    <s v="Chicago"/>
    <s v="christian.clayton@yahoo.com"/>
    <x v="3"/>
    <s v="065 Madison Way, Smithstad, CT 68011"/>
    <s v="OID9805"/>
    <d v="2024-09-06T00:00:00"/>
    <s v="23:35:16"/>
    <s v="PID046"/>
    <n v="363.64"/>
    <n v="2"/>
    <s v="FLAT20"/>
    <n v="20"/>
    <n v="6"/>
    <s v="Before_time"/>
    <n v="37"/>
    <n v="3"/>
    <d v="2024-09-09T00:00:00"/>
    <x v="0"/>
    <x v="4"/>
    <s v="01:46:46"/>
    <n v="618.82399999999996"/>
    <n v="145.45599999999999"/>
    <n v="581.82399999999996"/>
    <n v="727.28"/>
  </r>
  <r>
    <s v="CID121"/>
    <s v="Julie Meyer "/>
    <s v="Julie"/>
    <s v="Meyer"/>
    <n v="23"/>
    <s v="0-25"/>
    <x v="0"/>
    <s v="Phoenix"/>
    <s v="julie.meyer@yahoo.com"/>
    <x v="3"/>
    <s v="17381 Smith Ramp Suite 398, Courtneyville, AL 17756"/>
    <s v="OID7003"/>
    <d v="2024-07-31T00:00:00"/>
    <s v="04:53:37"/>
    <s v="PID048"/>
    <n v="136.30000000000001"/>
    <n v="2"/>
    <s v="FLAT10"/>
    <n v="10"/>
    <n v="3"/>
    <s v="Late_Delivery"/>
    <n v="47"/>
    <n v="7"/>
    <d v="2024-08-07T00:00:00"/>
    <x v="0"/>
    <x v="10"/>
    <s v="07:56:46"/>
    <n v="292.34000000000003"/>
    <n v="27.26"/>
    <n v="245.34000000000003"/>
    <n v="272.60000000000002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5372"/>
    <d v="2024-04-26T00:00:00"/>
    <s v="21:25:23"/>
    <s v="PID001"/>
    <n v="369.03"/>
    <n v="3"/>
    <s v="FLAT20"/>
    <n v="20"/>
    <n v="2"/>
    <s v="Late_Delivery"/>
    <n v="65"/>
    <n v="4"/>
    <d v="2024-04-30T00:00:00"/>
    <x v="0"/>
    <x v="3"/>
    <s v="15:58:45"/>
    <n v="950.67200000000003"/>
    <n v="221.41800000000001"/>
    <n v="885.67200000000003"/>
    <n v="1107.0899999999999"/>
  </r>
  <r>
    <s v="CID166"/>
    <s v="Taylor Davis "/>
    <s v="Taylor"/>
    <s v="Davis"/>
    <n v="54"/>
    <s v="&gt;45"/>
    <x v="1"/>
    <s v="Phoenix"/>
    <s v="taylor.davis@yahoo.com"/>
    <x v="3"/>
    <s v="USCGC Simmons, FPO AA 60167"/>
    <s v="OID4097"/>
    <d v="2023-06-28T00:00:00"/>
    <s v="18:03:08"/>
    <s v="PID029"/>
    <n v="381.73"/>
    <n v="2"/>
    <s v="FLAT15"/>
    <n v="15"/>
    <n v="3"/>
    <s v="Late_Delivery"/>
    <n v="70"/>
    <n v="7"/>
    <d v="2023-07-05T00:00:00"/>
    <x v="2"/>
    <x v="9"/>
    <s v="10:45:58"/>
    <n v="718.94100000000003"/>
    <n v="114.51900000000002"/>
    <n v="648.94100000000003"/>
    <n v="763.46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7090"/>
    <d v="2025-01-20T00:00:00"/>
    <s v="02:55:39"/>
    <s v="PID038"/>
    <n v="421.7"/>
    <n v="3"/>
    <s v="FLAT10"/>
    <n v="10"/>
    <n v="6"/>
    <s v="Before_time"/>
    <n v="38"/>
    <n v="3"/>
    <d v="2025-01-23T00:00:00"/>
    <x v="1"/>
    <x v="5"/>
    <s v="13:12:04"/>
    <n v="1176.5899999999999"/>
    <n v="126.51"/>
    <n v="1138.5899999999999"/>
    <n v="1265.0999999999999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8741"/>
    <d v="2023-09-17T00:00:00"/>
    <s v="23:25:51"/>
    <s v="PID043"/>
    <n v="330.11"/>
    <n v="3"/>
    <s v="FLAT8"/>
    <n v="8"/>
    <n v="2"/>
    <s v="Late_Delivery"/>
    <n v="40"/>
    <n v="5"/>
    <d v="2023-09-22T00:00:00"/>
    <x v="2"/>
    <x v="4"/>
    <s v="09:03:16"/>
    <n v="951.10360000000003"/>
    <n v="79.226399999999998"/>
    <n v="911.10360000000003"/>
    <n v="990.33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6002"/>
    <d v="2024-09-02T00:00:00"/>
    <s v="05:28:12"/>
    <s v="PID041"/>
    <n v="372.62"/>
    <n v="1"/>
    <s v="FLAT10"/>
    <n v="10"/>
    <n v="4"/>
    <s v="On_time"/>
    <n v="36"/>
    <n v="4"/>
    <d v="2024-09-06T00:00:00"/>
    <x v="0"/>
    <x v="4"/>
    <s v="09:29:13"/>
    <n v="371.358"/>
    <n v="37.262"/>
    <n v="335.358"/>
    <n v="372.62"/>
  </r>
  <r>
    <s v="CID104"/>
    <s v="Gary Huff "/>
    <s v="Gary"/>
    <s v="Huff"/>
    <n v="18"/>
    <s v="0-25"/>
    <x v="0"/>
    <s v="New York"/>
    <s v="gary.huff@gmail.com"/>
    <x v="2"/>
    <s v="58608 Alexander Terrace, South Bryan, SC 85541"/>
    <s v="OID8585"/>
    <d v="2023-10-18T00:00:00"/>
    <s v="16:44:13"/>
    <s v="PID027"/>
    <n v="481.48"/>
    <n v="3"/>
    <s v="FLAT10"/>
    <n v="10"/>
    <n v="2"/>
    <s v="Late_Delivery"/>
    <n v="42"/>
    <n v="4"/>
    <d v="2023-10-22T00:00:00"/>
    <x v="2"/>
    <x v="8"/>
    <s v="23:19:19"/>
    <n v="1341.9960000000001"/>
    <n v="144.44400000000002"/>
    <n v="1299.9960000000001"/>
    <n v="1444.44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6767"/>
    <d v="2024-09-20T00:00:00"/>
    <s v="17:52:44"/>
    <s v="PID022"/>
    <n v="308.88"/>
    <n v="1"/>
    <s v="FLAT15"/>
    <n v="15"/>
    <n v="3"/>
    <s v="Before_time"/>
    <n v="54"/>
    <n v="1"/>
    <d v="2024-09-21T00:00:00"/>
    <x v="0"/>
    <x v="4"/>
    <s v="14:18:48"/>
    <n v="316.548"/>
    <n v="46.332000000000001"/>
    <n v="262.548"/>
    <n v="308.88"/>
  </r>
  <r>
    <s v="CID186"/>
    <s v="Anne Oconnell "/>
    <s v="Anne"/>
    <s v="Oconnell"/>
    <n v="37"/>
    <s v="36-45"/>
    <x v="0"/>
    <s v="Phoenix"/>
    <s v="anne.oconnell@outlook.com"/>
    <x v="0"/>
    <s v="2850 Matthew Ford, North Yolandachester, FL 67488"/>
    <s v="OID4369"/>
    <d v="2023-08-24T00:00:00"/>
    <s v="22:31:31"/>
    <s v="PID012"/>
    <n v="132.97"/>
    <n v="4"/>
    <s v="FLAT10"/>
    <n v="10"/>
    <n v="3"/>
    <s v="Before_time"/>
    <n v="43"/>
    <n v="1"/>
    <d v="2023-08-25T00:00:00"/>
    <x v="2"/>
    <x v="10"/>
    <s v="17:01:58"/>
    <n v="521.69200000000001"/>
    <n v="53.188000000000002"/>
    <n v="478.69200000000001"/>
    <n v="531.88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5283"/>
    <d v="2024-07-15T00:00:00"/>
    <s v="18:43:17"/>
    <s v="PID041"/>
    <n v="372.62"/>
    <n v="4"/>
    <s v="FLAT8"/>
    <n v="8"/>
    <n v="1"/>
    <s v="Late_Delivery"/>
    <n v="45"/>
    <n v="4"/>
    <d v="2024-07-19T00:00:00"/>
    <x v="0"/>
    <x v="9"/>
    <s v="07:02:28"/>
    <n v="1416.2416000000001"/>
    <n v="119.2384"/>
    <n v="1371.2416000000001"/>
    <n v="1490.48"/>
  </r>
  <r>
    <s v="CID199"/>
    <s v="Lori Cook "/>
    <s v="Lori"/>
    <s v="Cook"/>
    <n v="18"/>
    <s v="0-25"/>
    <x v="1"/>
    <s v="Houston"/>
    <s v="lori.cook@rediffmail.com"/>
    <x v="1"/>
    <s v="86837 Bell Meadows, North Jasonshire, UT 51354"/>
    <s v="OID2949"/>
    <d v="2023-12-13T00:00:00"/>
    <s v="09:55:21"/>
    <s v="PID028"/>
    <n v="126.19"/>
    <n v="5"/>
    <s v="FLAT10"/>
    <n v="10"/>
    <n v="4"/>
    <s v="Late_Delivery"/>
    <n v="47"/>
    <n v="7"/>
    <d v="2023-12-20T00:00:00"/>
    <x v="2"/>
    <x v="7"/>
    <s v="22:38:31"/>
    <n v="614.85500000000002"/>
    <n v="63.094999999999999"/>
    <n v="567.85500000000002"/>
    <n v="630.95000000000005"/>
  </r>
  <r>
    <s v="CID104"/>
    <s v="Gary Huff "/>
    <s v="Gary"/>
    <s v="Huff"/>
    <n v="18"/>
    <s v="0-25"/>
    <x v="0"/>
    <s v="New York"/>
    <s v="gary.huff@gmail.com"/>
    <x v="2"/>
    <s v="58608 Alexander Terrace, South Bryan, SC 85541"/>
    <s v="OID1071"/>
    <d v="2023-07-10T00:00:00"/>
    <s v="06:47:14"/>
    <s v="PID025"/>
    <n v="403.03"/>
    <n v="2"/>
    <s v="FLAT15"/>
    <n v="15"/>
    <n v="7"/>
    <s v="Before_time"/>
    <n v="45"/>
    <n v="1"/>
    <d v="2023-07-11T00:00:00"/>
    <x v="2"/>
    <x v="9"/>
    <s v="05:46:18"/>
    <n v="730.15099999999995"/>
    <n v="120.90899999999999"/>
    <n v="685.15099999999995"/>
    <n v="806.06"/>
  </r>
  <r>
    <s v="CID104"/>
    <s v="Gary Huff "/>
    <s v="Gary"/>
    <s v="Huff"/>
    <n v="18"/>
    <s v="0-25"/>
    <x v="0"/>
    <s v="New York"/>
    <s v="gary.huff@gmail.com"/>
    <x v="2"/>
    <s v="58608 Alexander Terrace, South Bryan, SC 85541"/>
    <s v="OID7412"/>
    <d v="2024-04-10T00:00:00"/>
    <s v="22:41:22"/>
    <s v="PID036"/>
    <n v="157.63999999999999"/>
    <n v="2"/>
    <s v="FLAT15"/>
    <n v="15"/>
    <n v="5"/>
    <s v="Before_time"/>
    <n v="64"/>
    <n v="3"/>
    <d v="2024-04-13T00:00:00"/>
    <x v="0"/>
    <x v="3"/>
    <s v="03:01:00"/>
    <n v="331.98799999999994"/>
    <n v="47.292000000000002"/>
    <n v="267.98799999999994"/>
    <n v="315.27999999999997"/>
  </r>
  <r>
    <s v="CID138"/>
    <s v="Mike Carter "/>
    <s v="Mike"/>
    <s v="Carter"/>
    <n v="59"/>
    <s v="&gt;45"/>
    <x v="2"/>
    <s v="San Francisco"/>
    <s v="mike.carter@rediffmail.com"/>
    <x v="1"/>
    <s v="3971 Ortiz Fields, Lake Jackfort, IA 97132"/>
    <s v="OID6541"/>
    <d v="2023-11-21T00:00:00"/>
    <s v="08:35:05"/>
    <s v="PID026"/>
    <n v="128.13999999999999"/>
    <n v="1"/>
    <s v="FLAT10"/>
    <n v="10"/>
    <n v="7"/>
    <s v="Before_time"/>
    <n v="52"/>
    <n v="3"/>
    <d v="2023-11-24T00:00:00"/>
    <x v="2"/>
    <x v="11"/>
    <s v="09:50:44"/>
    <n v="167.32599999999999"/>
    <n v="12.813999999999998"/>
    <n v="115.32599999999999"/>
    <n v="128.13999999999999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3550"/>
    <d v="2024-02-26T00:00:00"/>
    <s v="06:30:57"/>
    <s v="PID007"/>
    <n v="257.06"/>
    <n v="3"/>
    <s v="DEL0"/>
    <n v="0"/>
    <n v="5"/>
    <s v="Late_Delivery"/>
    <n v="63"/>
    <n v="6"/>
    <d v="2024-03-03T00:00:00"/>
    <x v="0"/>
    <x v="0"/>
    <s v="08:01:14"/>
    <n v="834.18000000000006"/>
    <n v="0"/>
    <n v="771.18000000000006"/>
    <n v="771.18000000000006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7812"/>
    <d v="2023-11-27T00:00:00"/>
    <s v="09:01:24"/>
    <s v="PID014"/>
    <n v="272.51"/>
    <n v="2"/>
    <s v="FLAT10"/>
    <n v="10"/>
    <n v="4"/>
    <s v="Late_Delivery"/>
    <n v="48"/>
    <n v="7"/>
    <d v="2023-12-04T00:00:00"/>
    <x v="2"/>
    <x v="7"/>
    <s v="18:41:50"/>
    <n v="538.51800000000003"/>
    <n v="54.501999999999995"/>
    <n v="490.51799999999997"/>
    <n v="545.02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4101"/>
    <d v="2024-04-08T00:00:00"/>
    <s v="10:38:44"/>
    <s v="PID046"/>
    <n v="363.64"/>
    <n v="3"/>
    <s v="FLAT15"/>
    <n v="15"/>
    <n v="1"/>
    <s v="Late_Delivery"/>
    <n v="47"/>
    <n v="5"/>
    <d v="2024-04-13T00:00:00"/>
    <x v="0"/>
    <x v="3"/>
    <s v="15:48:50"/>
    <n v="974.28200000000004"/>
    <n v="163.63800000000001"/>
    <n v="927.28200000000004"/>
    <n v="1090.92"/>
  </r>
  <r>
    <s v="CID144"/>
    <s v="William Mann "/>
    <s v="William"/>
    <s v="Mann"/>
    <n v="21"/>
    <s v="0-25"/>
    <x v="0"/>
    <s v="Houston"/>
    <s v="william.mann@yahoo.com"/>
    <x v="3"/>
    <s v="849 Tran Wells, New Lindsayville, WI 22669"/>
    <s v="OID2704"/>
    <d v="2024-10-13T00:00:00"/>
    <s v="08:44:39"/>
    <s v="PID046"/>
    <n v="363.64"/>
    <n v="3"/>
    <s v="FLAT20"/>
    <n v="20"/>
    <n v="6"/>
    <s v="Late_Delivery"/>
    <n v="64"/>
    <n v="7"/>
    <d v="2024-10-20T00:00:00"/>
    <x v="0"/>
    <x v="8"/>
    <s v="13:35:45"/>
    <n v="936.7360000000001"/>
    <n v="218.18400000000003"/>
    <n v="872.7360000000001"/>
    <n v="1090.92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3902"/>
    <d v="2023-07-02T00:00:00"/>
    <s v="10:10:51"/>
    <s v="PID013"/>
    <n v="235.63"/>
    <n v="5"/>
    <s v="FLAT20"/>
    <n v="20"/>
    <n v="6"/>
    <s v="Before_time"/>
    <n v="63"/>
    <n v="5"/>
    <d v="2023-07-07T00:00:00"/>
    <x v="2"/>
    <x v="9"/>
    <s v="02:58:17"/>
    <n v="1005.5200000000001"/>
    <n v="235.63"/>
    <n v="942.5200000000001"/>
    <n v="1178.1500000000001"/>
  </r>
  <r>
    <s v="CID142"/>
    <s v="Thomas Owens "/>
    <s v="Thomas"/>
    <s v="Owens"/>
    <n v="34"/>
    <s v="26-35"/>
    <x v="2"/>
    <s v="Dallas"/>
    <s v="thomas.owens@outlook.com"/>
    <x v="0"/>
    <s v="43920 Shaffer Valley Suite 531, South Jerry, MD 67120"/>
    <s v="OID6097"/>
    <d v="2024-10-30T00:00:00"/>
    <s v="06:46:28"/>
    <s v="PID016"/>
    <n v="133.62"/>
    <n v="1"/>
    <s v="FLAT8"/>
    <n v="8"/>
    <n v="1"/>
    <s v="Late_Delivery"/>
    <n v="57"/>
    <n v="7"/>
    <d v="2024-11-06T00:00:00"/>
    <x v="0"/>
    <x v="11"/>
    <s v="11:47:41"/>
    <n v="179.93040000000002"/>
    <n v="10.6896"/>
    <n v="122.93040000000001"/>
    <n v="133.62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2270"/>
    <d v="2024-11-20T00:00:00"/>
    <s v="22:27:32"/>
    <s v="PID030"/>
    <n v="282.63"/>
    <n v="4"/>
    <s v="FLAT10"/>
    <n v="10"/>
    <n v="1"/>
    <s v="Late_Delivery"/>
    <n v="60"/>
    <n v="2"/>
    <d v="2024-11-22T00:00:00"/>
    <x v="0"/>
    <x v="11"/>
    <s v="22:31:13"/>
    <n v="1077.4679999999998"/>
    <n v="113.05200000000001"/>
    <n v="1017.468"/>
    <n v="1130.52"/>
  </r>
  <r>
    <s v="CID120"/>
    <s v="Jenny Estrada "/>
    <s v="Jenny"/>
    <s v="Estrada"/>
    <n v="45"/>
    <s v="36-45"/>
    <x v="0"/>
    <s v="Houston"/>
    <s v="jenny.estrada@yahoo.com"/>
    <x v="3"/>
    <s v="792 Carlos Islands, West David, CT 16522"/>
    <s v="OID4575"/>
    <d v="2023-12-11T00:00:00"/>
    <s v="18:42:20"/>
    <s v="PID015"/>
    <n v="166.28"/>
    <n v="3"/>
    <s v="FLAT10"/>
    <n v="10"/>
    <n v="6"/>
    <s v="Before_time"/>
    <n v="59"/>
    <n v="4"/>
    <d v="2023-12-15T00:00:00"/>
    <x v="2"/>
    <x v="7"/>
    <s v="00:21:21"/>
    <n v="507.95600000000002"/>
    <n v="49.884000000000007"/>
    <n v="448.95600000000002"/>
    <n v="498.84000000000003"/>
  </r>
  <r>
    <s v="CID112"/>
    <s v="Lindsey Byrd "/>
    <s v="Lindsey"/>
    <s v="Byrd"/>
    <n v="32"/>
    <s v="26-35"/>
    <x v="0"/>
    <s v="Chicago"/>
    <s v="lindsey.byrd@rediffmail.com"/>
    <x v="1"/>
    <s v="USCGC Harper, FPO AA 38349"/>
    <s v="OID2338"/>
    <d v="2023-07-10T00:00:00"/>
    <s v="22:07:35"/>
    <s v="PID017"/>
    <n v="425.59"/>
    <n v="5"/>
    <s v="FLAT8"/>
    <n v="8"/>
    <n v="7"/>
    <s v="On_time"/>
    <n v="57"/>
    <n v="7"/>
    <d v="2023-07-17T00:00:00"/>
    <x v="2"/>
    <x v="9"/>
    <s v="03:39:43"/>
    <n v="2014.7139999999999"/>
    <n v="170.23599999999999"/>
    <n v="1957.7139999999999"/>
    <n v="2127.9499999999998"/>
  </r>
  <r>
    <s v="CID136"/>
    <s v="Brittany Stewart "/>
    <s v="Brittany"/>
    <s v="Stewart"/>
    <n v="68"/>
    <s v="&gt;45"/>
    <x v="2"/>
    <s v="Dallas"/>
    <s v="brittany.stewart@gmail.com"/>
    <x v="2"/>
    <s v="6250 David Loaf Suite 561, North Pamelaberg, WV 63652"/>
    <s v="OID9816"/>
    <d v="2024-05-05T00:00:00"/>
    <s v="07:28:42"/>
    <s v="PID046"/>
    <n v="363.64"/>
    <n v="5"/>
    <s v="FLAT10"/>
    <n v="10"/>
    <n v="7"/>
    <s v="Before_time"/>
    <n v="60"/>
    <n v="2"/>
    <d v="2024-05-07T00:00:00"/>
    <x v="0"/>
    <x v="2"/>
    <s v="12:34:57"/>
    <n v="1696.3799999999999"/>
    <n v="181.82"/>
    <n v="1636.3799999999999"/>
    <n v="1818.1999999999998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1586"/>
    <d v="2024-06-27T00:00:00"/>
    <s v="14:01:51"/>
    <s v="PID025"/>
    <n v="403.03"/>
    <n v="5"/>
    <s v="FLAT20"/>
    <n v="20"/>
    <n v="2"/>
    <s v="Late_Delivery"/>
    <n v="52"/>
    <n v="5"/>
    <d v="2024-07-02T00:00:00"/>
    <x v="0"/>
    <x v="9"/>
    <s v="23:41:13"/>
    <n v="1664.12"/>
    <n v="403.03"/>
    <n v="1612.12"/>
    <n v="2015.1499999999999"/>
  </r>
  <r>
    <s v="CID175"/>
    <s v="Katherine Weber "/>
    <s v="Katherine"/>
    <s v="Weber"/>
    <n v="42"/>
    <s v="36-45"/>
    <x v="2"/>
    <s v="New York"/>
    <s v="katherine.weber@outlook.com"/>
    <x v="0"/>
    <s v="04887 Kimberly Union Apt. 645, Port Laura, IL 97219"/>
    <s v="OID9630"/>
    <d v="2023-02-11T00:00:00"/>
    <s v="20:50:23"/>
    <s v="PID001"/>
    <n v="369.03"/>
    <n v="1"/>
    <s v="FLAT20"/>
    <n v="20"/>
    <n v="6"/>
    <s v="On_time"/>
    <n v="38"/>
    <n v="6"/>
    <d v="2023-02-17T00:00:00"/>
    <x v="2"/>
    <x v="1"/>
    <s v="01:51:44"/>
    <n v="333.22399999999999"/>
    <n v="73.805999999999997"/>
    <n v="295.22399999999999"/>
    <n v="369.03"/>
  </r>
  <r>
    <s v="CID102"/>
    <s v="Jessica Ruiz "/>
    <s v="Jessica"/>
    <s v="Ruiz"/>
    <n v="19"/>
    <s v="0-25"/>
    <x v="1"/>
    <s v="New York"/>
    <s v="jessica.ruiz@rediffmail.com"/>
    <x v="1"/>
    <s v="02370 Laura Station Suite 309, Brandonville, DE 18875"/>
    <s v="OID8034"/>
    <d v="2024-06-10T00:00:00"/>
    <s v="08:30:48"/>
    <s v="PID038"/>
    <n v="421.7"/>
    <n v="5"/>
    <s v="FLAT10"/>
    <n v="10"/>
    <n v="6"/>
    <s v="Before_time"/>
    <n v="61"/>
    <n v="4"/>
    <d v="2024-06-14T00:00:00"/>
    <x v="0"/>
    <x v="6"/>
    <s v="01:26:28"/>
    <n v="1958.65"/>
    <n v="210.85"/>
    <n v="1897.65"/>
    <n v="2108.5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4815"/>
    <d v="2024-11-12T00:00:00"/>
    <s v="05:34:02"/>
    <s v="PID029"/>
    <n v="381.73"/>
    <n v="4"/>
    <s v="FLAT8"/>
    <n v="8"/>
    <n v="2"/>
    <s v="Late_Delivery"/>
    <n v="58"/>
    <n v="5"/>
    <d v="2024-11-17T00:00:00"/>
    <x v="0"/>
    <x v="11"/>
    <s v="15:11:50"/>
    <n v="1462.7664000000002"/>
    <n v="122.15360000000001"/>
    <n v="1404.7664000000002"/>
    <n v="1526.92"/>
  </r>
  <r>
    <s v="CID107"/>
    <s v="Lisa Miller "/>
    <s v="Lisa"/>
    <s v="Miller"/>
    <n v="70"/>
    <s v="&gt;45"/>
    <x v="1"/>
    <s v="Los Angeles"/>
    <s v="lisa.miller@gmail.com"/>
    <x v="2"/>
    <s v="89748 Campbell Drive, South Tannerland, WI 13143"/>
    <s v="OID1898"/>
    <d v="2024-04-04T00:00:00"/>
    <s v="22:30:30"/>
    <s v="PID042"/>
    <n v="175.93"/>
    <n v="2"/>
    <s v="FLAT10"/>
    <n v="10"/>
    <n v="7"/>
    <s v="Before_time"/>
    <n v="61"/>
    <n v="5"/>
    <d v="2024-04-09T00:00:00"/>
    <x v="0"/>
    <x v="3"/>
    <s v="23:12:23"/>
    <n v="377.67400000000004"/>
    <n v="35.186000000000007"/>
    <n v="316.67400000000004"/>
    <n v="351.86"/>
  </r>
  <r>
    <s v="CID116"/>
    <s v="John Ramirez "/>
    <s v="John"/>
    <s v="Ramirez"/>
    <n v="28"/>
    <s v="26-35"/>
    <x v="2"/>
    <s v="Miami"/>
    <s v="john.ramirez@outlook.com"/>
    <x v="0"/>
    <s v="02797 Martin Landing, South Michelle, VT 98781"/>
    <s v="OID7454"/>
    <d v="2024-01-31T00:00:00"/>
    <s v="06:13:30"/>
    <s v="PID029"/>
    <n v="381.73"/>
    <n v="2"/>
    <s v="FLAT15"/>
    <n v="15"/>
    <n v="2"/>
    <s v="Late_Delivery"/>
    <n v="68"/>
    <n v="7"/>
    <d v="2024-02-07T00:00:00"/>
    <x v="0"/>
    <x v="1"/>
    <s v="00:33:32"/>
    <n v="716.94100000000003"/>
    <n v="114.51900000000002"/>
    <n v="648.94100000000003"/>
    <n v="763.46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2597"/>
    <d v="2024-06-27T00:00:00"/>
    <s v="14:11:09"/>
    <s v="PID049"/>
    <n v="441.03"/>
    <n v="3"/>
    <s v="DEL0"/>
    <n v="0"/>
    <n v="4"/>
    <s v="Before_time"/>
    <n v="47"/>
    <n v="3"/>
    <d v="2024-06-30T00:00:00"/>
    <x v="0"/>
    <x v="6"/>
    <s v="00:33:26"/>
    <n v="1370.09"/>
    <n v="0"/>
    <n v="1323.09"/>
    <n v="1323.09"/>
  </r>
  <r>
    <s v="CID154"/>
    <s v="Angela Casey "/>
    <s v="Angela"/>
    <s v="Casey"/>
    <n v="40"/>
    <s v="36-45"/>
    <x v="0"/>
    <s v="New York"/>
    <s v="angela.casey@gmail.com"/>
    <x v="2"/>
    <s v="089 Farley Terrace, Thomashaven, MT 56607"/>
    <s v="OID6600"/>
    <d v="2024-08-27T00:00:00"/>
    <s v="22:46:20"/>
    <s v="PID048"/>
    <n v="136.30000000000001"/>
    <n v="2"/>
    <s v="FLAT8"/>
    <n v="8"/>
    <n v="6"/>
    <s v="Before_time"/>
    <n v="58"/>
    <n v="2"/>
    <d v="2024-08-29T00:00:00"/>
    <x v="0"/>
    <x v="10"/>
    <s v="15:31:26"/>
    <n v="308.79200000000003"/>
    <n v="21.808000000000003"/>
    <n v="250.79200000000003"/>
    <n v="272.60000000000002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3490"/>
    <d v="2024-04-01T00:00:00"/>
    <s v="03:47:08"/>
    <s v="PID025"/>
    <n v="403.03"/>
    <n v="3"/>
    <s v="FLAT15"/>
    <n v="15"/>
    <n v="5"/>
    <s v="Before_time"/>
    <n v="44"/>
    <n v="1"/>
    <d v="2024-04-02T00:00:00"/>
    <x v="0"/>
    <x v="3"/>
    <s v="03:23:26"/>
    <n v="1071.7265"/>
    <n v="181.36349999999999"/>
    <n v="1027.7265"/>
    <n v="1209.0899999999999"/>
  </r>
  <r>
    <s v="CID127"/>
    <s v="Natasha Michael "/>
    <s v="Natasha"/>
    <s v="Michael"/>
    <n v="49"/>
    <s v="&gt;45"/>
    <x v="0"/>
    <s v="Houston"/>
    <s v="natasha.michael@gmail.com"/>
    <x v="2"/>
    <s v="78992 Justin Estates Suite 226, Floresberg, NM 40797"/>
    <s v="OID5561"/>
    <d v="2023-11-03T00:00:00"/>
    <s v="07:21:30"/>
    <s v="PID029"/>
    <n v="381.73"/>
    <n v="5"/>
    <s v="FLAT8"/>
    <n v="8"/>
    <n v="7"/>
    <s v="Before_time"/>
    <n v="45"/>
    <n v="3"/>
    <d v="2023-11-06T00:00:00"/>
    <x v="2"/>
    <x v="11"/>
    <s v="09:57:13"/>
    <n v="1800.9580000000001"/>
    <n v="152.69200000000001"/>
    <n v="1755.9580000000001"/>
    <n v="1908.65"/>
  </r>
  <r>
    <s v="CID109"/>
    <s v="Rachael Robinson "/>
    <s v="Rachael"/>
    <s v="Robinson"/>
    <n v="24"/>
    <s v="0-25"/>
    <x v="2"/>
    <s v="Dallas"/>
    <s v="rachael.robinson@rediffmail.com"/>
    <x v="1"/>
    <s v="0889 Brady Points, Port Meganhaven, NM 26553"/>
    <s v="OID8830"/>
    <d v="2025-01-11T00:00:00"/>
    <s v="16:49:20"/>
    <s v="PID029"/>
    <n v="381.73"/>
    <n v="1"/>
    <s v="FLAT8"/>
    <n v="8"/>
    <n v="3"/>
    <s v="Late_Delivery"/>
    <n v="36"/>
    <n v="7"/>
    <d v="2025-01-18T00:00:00"/>
    <x v="1"/>
    <x v="5"/>
    <s v="22:40:50"/>
    <n v="387.19160000000005"/>
    <n v="30.538400000000003"/>
    <n v="351.19160000000005"/>
    <n v="381.73"/>
  </r>
  <r>
    <s v="CID129"/>
    <s v="Rebecca Figueroa "/>
    <s v="Rebecca"/>
    <s v="Figueroa"/>
    <n v="63"/>
    <s v="&gt;45"/>
    <x v="0"/>
    <s v="Miami"/>
    <s v="rebecca.figueroa@outlook.com"/>
    <x v="0"/>
    <s v="3959 Bell Dale, North Jacob, LA 07934"/>
    <s v="OID9527"/>
    <d v="2024-06-14T00:00:00"/>
    <s v="16:59:25"/>
    <s v="PID017"/>
    <n v="425.59"/>
    <n v="1"/>
    <s v="FLAT20"/>
    <n v="20"/>
    <n v="7"/>
    <s v="Before_time"/>
    <n v="40"/>
    <n v="3"/>
    <d v="2024-06-17T00:00:00"/>
    <x v="0"/>
    <x v="6"/>
    <s v="13:29:40"/>
    <n v="380.47199999999998"/>
    <n v="85.117999999999995"/>
    <n v="340.47199999999998"/>
    <n v="425.59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1067"/>
    <d v="2025-01-02T00:00:00"/>
    <s v="06:15:44"/>
    <s v="PID027"/>
    <n v="481.48"/>
    <n v="4"/>
    <s v="FLAT15"/>
    <n v="15"/>
    <n v="4"/>
    <s v="Late_Delivery"/>
    <n v="67"/>
    <n v="6"/>
    <d v="2025-01-08T00:00:00"/>
    <x v="1"/>
    <x v="5"/>
    <s v="09:11:07"/>
    <n v="1704.0319999999999"/>
    <n v="288.88800000000003"/>
    <n v="1637.0319999999999"/>
    <n v="1925.92"/>
  </r>
  <r>
    <s v="CID176"/>
    <s v="Joshua Campbell "/>
    <s v="Joshua"/>
    <s v="Campbell"/>
    <n v="24"/>
    <s v="0-25"/>
    <x v="0"/>
    <s v="Chicago"/>
    <s v="joshua.campbell@gmail.com"/>
    <x v="2"/>
    <s v="70426 Lindsey Overpass Apt. 030, Jessicafurt, AR 46269"/>
    <s v="OID2119"/>
    <d v="2024-08-08T00:00:00"/>
    <s v="17:29:54"/>
    <s v="PID038"/>
    <n v="421.7"/>
    <n v="2"/>
    <s v="FLAT10"/>
    <n v="10"/>
    <n v="2"/>
    <s v="On_time"/>
    <n v="54"/>
    <n v="2"/>
    <d v="2024-08-10T00:00:00"/>
    <x v="0"/>
    <x v="10"/>
    <s v="07:27:00"/>
    <n v="813.06"/>
    <n v="84.34"/>
    <n v="759.06"/>
    <n v="843.4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5802"/>
    <d v="2024-04-11T00:00:00"/>
    <s v="05:25:01"/>
    <s v="PID040"/>
    <n v="110.95"/>
    <n v="3"/>
    <s v="DEL0"/>
    <n v="0"/>
    <n v="5"/>
    <s v="Late_Delivery"/>
    <n v="47"/>
    <n v="6"/>
    <d v="2024-04-17T00:00:00"/>
    <x v="0"/>
    <x v="3"/>
    <s v="02:19:52"/>
    <n v="379.85"/>
    <n v="0"/>
    <n v="332.85"/>
    <n v="332.85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4569"/>
    <d v="2023-09-19T00:00:00"/>
    <s v="00:49:15"/>
    <s v="PID030"/>
    <n v="282.63"/>
    <n v="4"/>
    <s v="FLAT10"/>
    <n v="10"/>
    <n v="3"/>
    <s v="On_time"/>
    <n v="52"/>
    <n v="3"/>
    <d v="2023-09-22T00:00:00"/>
    <x v="2"/>
    <x v="4"/>
    <s v="07:05:22"/>
    <n v="1069.4679999999998"/>
    <n v="113.05200000000001"/>
    <n v="1017.468"/>
    <n v="1130.52"/>
  </r>
  <r>
    <s v="CID173"/>
    <s v="Susan Thompson "/>
    <s v="Susan"/>
    <s v="Thompson"/>
    <n v="37"/>
    <s v="36-45"/>
    <x v="2"/>
    <s v="Dallas"/>
    <s v="susan.thompson@outlook.com"/>
    <x v="0"/>
    <s v="47821 William Station, East Ashleymouth, FL 20562"/>
    <s v="OID1508"/>
    <d v="2024-02-13T00:00:00"/>
    <s v="10:13:34"/>
    <s v="PID050"/>
    <n v="158.53"/>
    <n v="3"/>
    <s v="FLAT10"/>
    <n v="10"/>
    <n v="3"/>
    <s v="Before_time"/>
    <n v="63"/>
    <n v="1"/>
    <d v="2024-02-14T00:00:00"/>
    <x v="0"/>
    <x v="1"/>
    <s v="00:06:39"/>
    <n v="491.03100000000006"/>
    <n v="47.559000000000005"/>
    <n v="428.03100000000006"/>
    <n v="475.59000000000003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3969"/>
    <d v="2023-04-10T00:00:00"/>
    <s v="22:48:36"/>
    <s v="PID018"/>
    <n v="62.42"/>
    <n v="3"/>
    <s v="FLAT8"/>
    <n v="8"/>
    <n v="3"/>
    <s v="Late_Delivery"/>
    <n v="37"/>
    <n v="5"/>
    <d v="2023-04-15T00:00:00"/>
    <x v="2"/>
    <x v="3"/>
    <s v="11:30:05"/>
    <n v="209.2792"/>
    <n v="14.980799999999999"/>
    <n v="172.2792"/>
    <n v="187.26"/>
  </r>
  <r>
    <s v="CID190"/>
    <s v="Valerie Carr "/>
    <s v="Valerie"/>
    <s v="Carr"/>
    <n v="26"/>
    <s v="26-35"/>
    <x v="2"/>
    <s v="San Francisco"/>
    <s v="valerie.carr@rediffmail.com"/>
    <x v="1"/>
    <s v="981 Emily Stream, South Brianna, CO 98063"/>
    <s v="OID8974"/>
    <d v="2024-06-11T00:00:00"/>
    <s v="03:37:20"/>
    <s v="PID013"/>
    <n v="235.63"/>
    <n v="2"/>
    <s v="FLAT15"/>
    <n v="15"/>
    <n v="4"/>
    <s v="On_time"/>
    <n v="44"/>
    <n v="4"/>
    <d v="2024-06-15T00:00:00"/>
    <x v="0"/>
    <x v="6"/>
    <s v="08:01:11"/>
    <n v="444.57099999999997"/>
    <n v="70.688999999999993"/>
    <n v="400.57099999999997"/>
    <n v="471.26"/>
  </r>
  <r>
    <s v="CID191"/>
    <s v="Lauren Long "/>
    <s v="Lauren"/>
    <s v="Long"/>
    <n v="44"/>
    <s v="36-45"/>
    <x v="0"/>
    <s v="Dallas"/>
    <s v="lauren.long@gmail.com"/>
    <x v="2"/>
    <s v="258 Michael Brooks Suite 363, Arnoldview, PA 49438"/>
    <s v="OID6987"/>
    <d v="2024-09-12T00:00:00"/>
    <s v="23:47:53"/>
    <s v="PID036"/>
    <n v="157.63999999999999"/>
    <n v="2"/>
    <s v="FLAT8"/>
    <n v="8"/>
    <n v="1"/>
    <s v="Late_Delivery"/>
    <n v="56"/>
    <n v="5"/>
    <d v="2024-09-17T00:00:00"/>
    <x v="0"/>
    <x v="4"/>
    <s v="00:49:45"/>
    <n v="346.05759999999998"/>
    <n v="25.222399999999997"/>
    <n v="290.05759999999998"/>
    <n v="315.27999999999997"/>
  </r>
  <r>
    <s v="CID193"/>
    <s v="Ashley Rose "/>
    <s v="Ashley"/>
    <s v="Rose"/>
    <n v="60"/>
    <s v="&gt;45"/>
    <x v="2"/>
    <s v="Phoenix"/>
    <s v="ashley.rose@gmail.com"/>
    <x v="2"/>
    <s v="424 Nichols Curve Suite 177, Lake Brianview, TX 17289"/>
    <s v="OID5834"/>
    <d v="2023-03-11T00:00:00"/>
    <s v="15:54:45"/>
    <s v="PID041"/>
    <n v="372.62"/>
    <n v="4"/>
    <s v="FLAT15"/>
    <n v="15"/>
    <n v="2"/>
    <s v="Late_Delivery"/>
    <n v="42"/>
    <n v="5"/>
    <d v="2023-03-16T00:00:00"/>
    <x v="2"/>
    <x v="0"/>
    <s v="19:22:50"/>
    <n v="1308.9079999999999"/>
    <n v="223.572"/>
    <n v="1266.9079999999999"/>
    <n v="1490.48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3980"/>
    <d v="2025-01-15T00:00:00"/>
    <s v="21:10:06"/>
    <s v="PID025"/>
    <n v="403.03"/>
    <n v="2"/>
    <s v="FLAT20"/>
    <n v="20"/>
    <n v="3"/>
    <s v="Late_Delivery"/>
    <n v="61"/>
    <n v="5"/>
    <d v="2025-01-20T00:00:00"/>
    <x v="1"/>
    <x v="5"/>
    <s v="08:42:57"/>
    <n v="705.84799999999996"/>
    <n v="161.21199999999999"/>
    <n v="644.84799999999996"/>
    <n v="806.06"/>
  </r>
  <r>
    <s v="CID179"/>
    <s v="Christian Clayton "/>
    <s v="Christian"/>
    <s v="Clayton"/>
    <n v="39"/>
    <s v="36-45"/>
    <x v="1"/>
    <s v="Chicago"/>
    <s v="christian.clayton@yahoo.com"/>
    <x v="3"/>
    <s v="065 Madison Way, Smithstad, CT 68011"/>
    <s v="OID9700"/>
    <d v="2024-03-15T00:00:00"/>
    <s v="17:39:16"/>
    <s v="PID003"/>
    <n v="20.7"/>
    <n v="3"/>
    <s v="DEL0"/>
    <n v="0"/>
    <n v="1"/>
    <s v="Late_Delivery"/>
    <n v="67"/>
    <n v="6"/>
    <d v="2024-03-21T00:00:00"/>
    <x v="0"/>
    <x v="0"/>
    <s v="05:28:25"/>
    <n v="129.1"/>
    <n v="0"/>
    <n v="62.099999999999994"/>
    <n v="62.099999999999994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1135"/>
    <d v="2024-09-06T00:00:00"/>
    <s v="21:59:14"/>
    <s v="PID048"/>
    <n v="136.30000000000001"/>
    <n v="2"/>
    <s v="FLAT20"/>
    <n v="20"/>
    <n v="2"/>
    <s v="Late_Delivery"/>
    <n v="45"/>
    <n v="5"/>
    <d v="2024-09-11T00:00:00"/>
    <x v="0"/>
    <x v="4"/>
    <s v="00:34:58"/>
    <n v="263.08000000000004"/>
    <n v="54.52"/>
    <n v="218.08000000000004"/>
    <n v="272.60000000000002"/>
  </r>
  <r>
    <s v="CID156"/>
    <s v="Gregory Lee "/>
    <s v="Gregory"/>
    <s v="Lee"/>
    <n v="26"/>
    <s v="26-35"/>
    <x v="2"/>
    <s v="New York"/>
    <s v="gregory.lee@rediffmail.com"/>
    <x v="1"/>
    <s v="619 Parker Turnpike Apt. 025, West Brucehaven, ID 48437"/>
    <s v="OID9451"/>
    <d v="2024-04-07T00:00:00"/>
    <s v="21:47:08"/>
    <s v="PID040"/>
    <n v="110.95"/>
    <n v="2"/>
    <s v="FLAT20"/>
    <n v="20"/>
    <n v="3"/>
    <s v="Late_Delivery"/>
    <n v="36"/>
    <n v="5"/>
    <d v="2024-04-12T00:00:00"/>
    <x v="0"/>
    <x v="3"/>
    <s v="12:42:34"/>
    <n v="213.52"/>
    <n v="44.38"/>
    <n v="177.52"/>
    <n v="221.9"/>
  </r>
  <r>
    <s v="CID182"/>
    <s v="John Herrera "/>
    <s v="John"/>
    <s v="Herrera"/>
    <n v="64"/>
    <s v="&gt;45"/>
    <x v="1"/>
    <s v="Houston"/>
    <s v="john.herrera@outlook.com"/>
    <x v="0"/>
    <s v="61263 Jacob Isle, Amandatown, TN 34321"/>
    <s v="OID4659"/>
    <d v="2024-02-29T00:00:00"/>
    <s v="00:57:26"/>
    <s v="PID041"/>
    <n v="372.62"/>
    <n v="3"/>
    <s v="DEL0"/>
    <n v="0"/>
    <n v="5"/>
    <s v="Before_time"/>
    <n v="54"/>
    <n v="1"/>
    <d v="2024-03-01T00:00:00"/>
    <x v="0"/>
    <x v="0"/>
    <s v="23:16:52"/>
    <n v="1171.8600000000001"/>
    <n v="0"/>
    <n v="1117.8600000000001"/>
    <n v="1117.8600000000001"/>
  </r>
  <r>
    <s v="CID141"/>
    <s v="Megan Hunt "/>
    <s v="Megan"/>
    <s v="Hunt"/>
    <n v="63"/>
    <s v="&gt;45"/>
    <x v="0"/>
    <s v="San Francisco"/>
    <s v="megan.hunt@rediffmail.com"/>
    <x v="1"/>
    <s v="03765 Velazquez Knoll Suite 478, Richardshire, UT 17200"/>
    <s v="OID7205"/>
    <d v="2023-06-06T00:00:00"/>
    <s v="21:16:04"/>
    <s v="PID036"/>
    <n v="157.63999999999999"/>
    <n v="2"/>
    <s v="FLAT8"/>
    <n v="8"/>
    <n v="4"/>
    <s v="Late_Delivery"/>
    <n v="61"/>
    <n v="7"/>
    <d v="2023-06-13T00:00:00"/>
    <x v="2"/>
    <x v="6"/>
    <s v="10:41:25"/>
    <n v="351.05759999999998"/>
    <n v="25.222399999999997"/>
    <n v="290.05759999999998"/>
    <n v="315.27999999999997"/>
  </r>
  <r>
    <s v="CID102"/>
    <s v="Jessica Ruiz "/>
    <s v="Jessica"/>
    <s v="Ruiz"/>
    <n v="19"/>
    <s v="0-25"/>
    <x v="1"/>
    <s v="New York"/>
    <s v="jessica.ruiz@rediffmail.com"/>
    <x v="1"/>
    <s v="02370 Laura Station Suite 309, Brandonville, DE 18875"/>
    <s v="OID9735"/>
    <d v="2023-03-12T00:00:00"/>
    <s v="20:03:28"/>
    <s v="PID047"/>
    <n v="190.1"/>
    <n v="3"/>
    <s v="FLAT8"/>
    <n v="8"/>
    <n v="4"/>
    <s v="Late_Delivery"/>
    <n v="63"/>
    <n v="5"/>
    <d v="2023-03-17T00:00:00"/>
    <x v="2"/>
    <x v="0"/>
    <s v="11:16:12"/>
    <n v="587.67599999999993"/>
    <n v="45.623999999999995"/>
    <n v="524.67599999999993"/>
    <n v="570.29999999999995"/>
  </r>
  <r>
    <s v="CID122"/>
    <s v="Jared Horn "/>
    <s v="Jared"/>
    <s v="Horn"/>
    <n v="43"/>
    <s v="36-45"/>
    <x v="0"/>
    <s v="Miami"/>
    <s v="jared.horn@outlook.com"/>
    <x v="0"/>
    <s v="43325 Barbara Tunnel, Port James, LA 16246"/>
    <s v="OID3358"/>
    <d v="2024-05-16T00:00:00"/>
    <s v="15:38:50"/>
    <s v="PID002"/>
    <n v="107.47"/>
    <n v="1"/>
    <s v="FLAT8"/>
    <n v="8"/>
    <n v="4"/>
    <s v="Before_time"/>
    <n v="36"/>
    <n v="2"/>
    <d v="2024-05-18T00:00:00"/>
    <x v="0"/>
    <x v="2"/>
    <s v="12:50:53"/>
    <n v="134.8724"/>
    <n v="8.5975999999999999"/>
    <n v="98.872399999999999"/>
    <n v="107.47"/>
  </r>
  <r>
    <s v="CID184"/>
    <s v="Aaron Thompson "/>
    <s v="Aaron"/>
    <s v="Thompson"/>
    <n v="47"/>
    <s v="&gt;45"/>
    <x v="1"/>
    <s v="Los Angeles"/>
    <s v="aaron.thompson@gmail.com"/>
    <x v="2"/>
    <s v="PSC 0550, Box 2737, APO AE 75772"/>
    <s v="OID4719"/>
    <d v="2023-03-27T00:00:00"/>
    <s v="03:13:28"/>
    <s v="PID042"/>
    <n v="175.93"/>
    <n v="3"/>
    <s v="DEL0"/>
    <n v="0"/>
    <n v="3"/>
    <s v="Late_Delivery"/>
    <n v="58"/>
    <n v="5"/>
    <d v="2023-04-01T00:00:00"/>
    <x v="2"/>
    <x v="3"/>
    <s v="07:58:28"/>
    <n v="585.79"/>
    <n v="0"/>
    <n v="527.79"/>
    <n v="527.79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8203"/>
    <d v="2024-07-08T00:00:00"/>
    <s v="12:54:20"/>
    <s v="PID032"/>
    <n v="424.82"/>
    <n v="3"/>
    <s v="DEL0"/>
    <n v="0"/>
    <n v="3"/>
    <s v="Before_time"/>
    <n v="42"/>
    <n v="1"/>
    <d v="2024-07-09T00:00:00"/>
    <x v="0"/>
    <x v="9"/>
    <s v="17:32:38"/>
    <n v="1316.46"/>
    <n v="0"/>
    <n v="1274.46"/>
    <n v="1274.46"/>
  </r>
  <r>
    <s v="CID131"/>
    <s v="Veronica Lopez "/>
    <s v="Veronica"/>
    <s v="Lopez"/>
    <n v="18"/>
    <s v="0-25"/>
    <x v="1"/>
    <s v="Dallas"/>
    <s v="veronica.lopez@gmail.com"/>
    <x v="2"/>
    <s v="660 Karen Station Apt. 887, Allenside, ID 03170"/>
    <s v="OID2353"/>
    <d v="2024-02-10T00:00:00"/>
    <s v="15:59:36"/>
    <s v="PID027"/>
    <n v="481.48"/>
    <n v="4"/>
    <s v="DEL0"/>
    <n v="0"/>
    <n v="2"/>
    <s v="Late_Delivery"/>
    <n v="61"/>
    <n v="6"/>
    <d v="2024-02-16T00:00:00"/>
    <x v="0"/>
    <x v="1"/>
    <s v="07:38:19"/>
    <n v="1986.92"/>
    <n v="0"/>
    <n v="1925.92"/>
    <n v="1925.92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5255"/>
    <d v="2024-11-03T00:00:00"/>
    <s v="19:52:34"/>
    <s v="PID024"/>
    <n v="104.18"/>
    <n v="1"/>
    <s v="FLAT8"/>
    <n v="8"/>
    <n v="1"/>
    <s v="Late_Delivery"/>
    <n v="48"/>
    <n v="4"/>
    <d v="2024-11-07T00:00:00"/>
    <x v="0"/>
    <x v="11"/>
    <s v="07:40:09"/>
    <n v="143.84559999999999"/>
    <n v="8.3344000000000005"/>
    <n v="95.845600000000005"/>
    <n v="104.18"/>
  </r>
  <r>
    <s v="CID157"/>
    <s v="Sarah Benson "/>
    <s v="Sarah"/>
    <s v="Benson"/>
    <n v="40"/>
    <s v="36-45"/>
    <x v="2"/>
    <s v="Dallas"/>
    <s v="sarah.benson@outlook.com"/>
    <x v="0"/>
    <s v="5399 Hayes Well, West Pennystad, IL 93798"/>
    <s v="OID7946"/>
    <d v="2024-05-10T00:00:00"/>
    <s v="20:27:13"/>
    <s v="PID017"/>
    <n v="425.59"/>
    <n v="2"/>
    <s v="FLAT8"/>
    <n v="8"/>
    <n v="3"/>
    <s v="Before_time"/>
    <n v="47"/>
    <n v="1"/>
    <d v="2024-05-11T00:00:00"/>
    <x v="0"/>
    <x v="2"/>
    <s v="22:27:12"/>
    <n v="830.0856"/>
    <n v="68.094399999999993"/>
    <n v="783.0856"/>
    <n v="851.18"/>
  </r>
  <r>
    <s v="CID102"/>
    <s v="Jessica Ruiz "/>
    <s v="Jessica"/>
    <s v="Ruiz"/>
    <n v="19"/>
    <s v="0-25"/>
    <x v="1"/>
    <s v="New York"/>
    <s v="jessica.ruiz@rediffmail.com"/>
    <x v="1"/>
    <s v="02370 Laura Station Suite 309, Brandonville, DE 18875"/>
    <s v="OID1159"/>
    <d v="2023-04-01T00:00:00"/>
    <s v="04:24:31"/>
    <s v="PID008"/>
    <n v="461.07"/>
    <n v="4"/>
    <s v="DEL0"/>
    <n v="0"/>
    <n v="6"/>
    <s v="Before_time"/>
    <n v="46"/>
    <n v="5"/>
    <d v="2023-04-06T00:00:00"/>
    <x v="2"/>
    <x v="3"/>
    <s v="06:44:34"/>
    <n v="1890.28"/>
    <n v="0"/>
    <n v="1844.28"/>
    <n v="1844.28"/>
  </r>
  <r>
    <s v="CID178"/>
    <s v="Amy Reid "/>
    <s v="Amy"/>
    <s v="Reid"/>
    <n v="44"/>
    <s v="36-45"/>
    <x v="1"/>
    <s v="Los Angeles"/>
    <s v="amy.reid@rediffmail.com"/>
    <x v="1"/>
    <s v="6262 Simpson Village, North Danielle, RI 76074"/>
    <s v="OID5186"/>
    <d v="2024-05-10T00:00:00"/>
    <s v="05:26:44"/>
    <s v="PID018"/>
    <n v="62.42"/>
    <n v="4"/>
    <s v="FLAT15"/>
    <n v="15"/>
    <n v="1"/>
    <s v="Late_Delivery"/>
    <n v="67"/>
    <n v="4"/>
    <d v="2024-05-14T00:00:00"/>
    <x v="0"/>
    <x v="2"/>
    <s v="06:17:48"/>
    <n v="279.22800000000001"/>
    <n v="37.452000000000005"/>
    <n v="212.22800000000001"/>
    <n v="249.68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7156"/>
    <d v="2023-09-17T00:00:00"/>
    <s v="13:33:00"/>
    <s v="PID007"/>
    <n v="257.06"/>
    <n v="1"/>
    <s v="FLAT20"/>
    <n v="20"/>
    <n v="5"/>
    <s v="Before_time"/>
    <n v="64"/>
    <n v="2"/>
    <d v="2023-09-19T00:00:00"/>
    <x v="2"/>
    <x v="4"/>
    <s v="16:40:47"/>
    <n v="269.64800000000002"/>
    <n v="51.411999999999999"/>
    <n v="205.64800000000002"/>
    <n v="257.06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3574"/>
    <d v="2025-01-20T00:00:00"/>
    <s v="22:42:24"/>
    <s v="PID014"/>
    <n v="272.51"/>
    <n v="4"/>
    <s v="FLAT20"/>
    <n v="20"/>
    <n v="6"/>
    <s v="Before_time"/>
    <n v="39"/>
    <n v="2"/>
    <d v="2025-01-22T00:00:00"/>
    <x v="1"/>
    <x v="5"/>
    <s v="19:19:52"/>
    <n v="911.03200000000004"/>
    <n v="218.00799999999998"/>
    <n v="872.03200000000004"/>
    <n v="1090.04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1477"/>
    <d v="2023-11-12T00:00:00"/>
    <s v="07:28:15"/>
    <s v="PID025"/>
    <n v="403.03"/>
    <n v="2"/>
    <s v="FLAT8"/>
    <n v="8"/>
    <n v="4"/>
    <s v="On_time"/>
    <n v="70"/>
    <n v="4"/>
    <d v="2023-11-16T00:00:00"/>
    <x v="2"/>
    <x v="11"/>
    <s v="12:59:43"/>
    <n v="811.5752"/>
    <n v="64.484799999999993"/>
    <n v="741.5752"/>
    <n v="806.06"/>
  </r>
  <r>
    <s v="CID102"/>
    <s v="Jessica Ruiz "/>
    <s v="Jessica"/>
    <s v="Ruiz"/>
    <n v="19"/>
    <s v="0-25"/>
    <x v="1"/>
    <s v="New York"/>
    <s v="jessica.ruiz@rediffmail.com"/>
    <x v="1"/>
    <s v="02370 Laura Station Suite 309, Brandonville, DE 18875"/>
    <s v="OID2944"/>
    <d v="2023-10-02T00:00:00"/>
    <s v="05:37:56"/>
    <s v="PID008"/>
    <n v="461.07"/>
    <n v="3"/>
    <s v="FLAT10"/>
    <n v="10"/>
    <n v="1"/>
    <s v="On_time"/>
    <n v="61"/>
    <n v="1"/>
    <d v="2023-10-03T00:00:00"/>
    <x v="2"/>
    <x v="8"/>
    <s v="15:40:22"/>
    <n v="1305.8890000000001"/>
    <n v="138.321"/>
    <n v="1244.8890000000001"/>
    <n v="1383.21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5130"/>
    <d v="2024-08-18T00:00:00"/>
    <s v="20:10:43"/>
    <s v="PID049"/>
    <n v="441.03"/>
    <n v="3"/>
    <s v="FLAT20"/>
    <n v="20"/>
    <n v="4"/>
    <s v="Late_Delivery"/>
    <n v="40"/>
    <n v="6"/>
    <d v="2024-08-24T00:00:00"/>
    <x v="0"/>
    <x v="10"/>
    <s v="08:44:22"/>
    <n v="1098.472"/>
    <n v="264.61799999999999"/>
    <n v="1058.472"/>
    <n v="1323.09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7754"/>
    <d v="2023-06-13T00:00:00"/>
    <s v="12:34:36"/>
    <s v="PID042"/>
    <n v="175.93"/>
    <n v="4"/>
    <s v="FLAT20"/>
    <n v="20"/>
    <n v="6"/>
    <s v="Late_Delivery"/>
    <n v="45"/>
    <n v="7"/>
    <d v="2023-06-20T00:00:00"/>
    <x v="2"/>
    <x v="6"/>
    <s v="10:14:17"/>
    <n v="607.976"/>
    <n v="140.74400000000003"/>
    <n v="562.976"/>
    <n v="703.72"/>
  </r>
  <r>
    <s v="CID102"/>
    <s v="Jessica Ruiz "/>
    <s v="Jessica"/>
    <s v="Ruiz"/>
    <n v="19"/>
    <s v="0-25"/>
    <x v="1"/>
    <s v="New York"/>
    <s v="jessica.ruiz@rediffmail.com"/>
    <x v="1"/>
    <s v="02370 Laura Station Suite 309, Brandonville, DE 18875"/>
    <s v="OID1246"/>
    <d v="2023-05-03T00:00:00"/>
    <s v="05:06:18"/>
    <s v="PID001"/>
    <n v="369.03"/>
    <n v="3"/>
    <s v="FLAT8"/>
    <n v="8"/>
    <n v="6"/>
    <s v="Before_time"/>
    <n v="50"/>
    <n v="3"/>
    <d v="2023-05-06T00:00:00"/>
    <x v="2"/>
    <x v="2"/>
    <s v="20:00:01"/>
    <n v="1068.5228"/>
    <n v="88.5672"/>
    <n v="1018.5228"/>
    <n v="1107.0899999999999"/>
  </r>
  <r>
    <s v="CID170"/>
    <s v="Bruce Allen "/>
    <s v="Bruce"/>
    <s v="Allen"/>
    <n v="32"/>
    <s v="26-35"/>
    <x v="1"/>
    <s v="Phoenix"/>
    <s v="bruce.allen@rediffmail.com"/>
    <x v="1"/>
    <s v="2417 Brown Ford, West Timothyside, RI 45629"/>
    <s v="OID8680"/>
    <d v="2025-01-19T00:00:00"/>
    <s v="14:47:52"/>
    <s v="PID027"/>
    <n v="481.48"/>
    <n v="2"/>
    <s v="FLAT20"/>
    <n v="20"/>
    <n v="3"/>
    <s v="Late_Delivery"/>
    <n v="58"/>
    <n v="7"/>
    <d v="2025-01-26T00:00:00"/>
    <x v="1"/>
    <x v="5"/>
    <s v="17:06:11"/>
    <n v="828.36800000000005"/>
    <n v="192.59200000000001"/>
    <n v="770.36800000000005"/>
    <n v="962.96"/>
  </r>
  <r>
    <s v="CID127"/>
    <s v="Natasha Michael "/>
    <s v="Natasha"/>
    <s v="Michael"/>
    <n v="49"/>
    <s v="&gt;45"/>
    <x v="0"/>
    <s v="Houston"/>
    <s v="natasha.michael@gmail.com"/>
    <x v="2"/>
    <s v="78992 Justin Estates Suite 226, Floresberg, NM 40797"/>
    <s v="OID7102"/>
    <d v="2023-06-15T00:00:00"/>
    <s v="20:27:42"/>
    <s v="PID017"/>
    <n v="425.59"/>
    <n v="3"/>
    <s v="FLAT8"/>
    <n v="8"/>
    <n v="6"/>
    <s v="Late_Delivery"/>
    <n v="55"/>
    <n v="7"/>
    <d v="2023-06-22T00:00:00"/>
    <x v="2"/>
    <x v="6"/>
    <s v="10:15:00"/>
    <n v="1229.6284000000001"/>
    <n v="102.1416"/>
    <n v="1174.6284000000001"/>
    <n v="1276.77"/>
  </r>
  <r>
    <s v="CID121"/>
    <s v="Julie Meyer "/>
    <s v="Julie"/>
    <s v="Meyer"/>
    <n v="23"/>
    <s v="0-25"/>
    <x v="0"/>
    <s v="Phoenix"/>
    <s v="julie.meyer@yahoo.com"/>
    <x v="3"/>
    <s v="17381 Smith Ramp Suite 398, Courtneyville, AL 17756"/>
    <s v="OID7555"/>
    <d v="2025-01-02T00:00:00"/>
    <s v="13:24:08"/>
    <s v="PID045"/>
    <n v="33.49"/>
    <n v="2"/>
    <s v="FLAT8"/>
    <n v="8"/>
    <n v="2"/>
    <s v="Before_time"/>
    <n v="45"/>
    <n v="1"/>
    <d v="2025-01-03T00:00:00"/>
    <x v="1"/>
    <x v="5"/>
    <s v="07:39:38"/>
    <n v="106.6216"/>
    <n v="5.3584000000000005"/>
    <n v="61.621600000000008"/>
    <n v="66.98"/>
  </r>
  <r>
    <s v="CID153"/>
    <s v="Mitchell Parker "/>
    <s v="Mitchell"/>
    <s v="Parker"/>
    <n v="39"/>
    <s v="36-45"/>
    <x v="2"/>
    <s v="Houston"/>
    <s v="mitchell.parker@yahoo.com"/>
    <x v="3"/>
    <s v="PSC 3316, Box 9303, APO AE 29513"/>
    <s v="OID3165"/>
    <d v="2023-04-08T00:00:00"/>
    <s v="09:58:35"/>
    <s v="PID031"/>
    <n v="405"/>
    <n v="4"/>
    <s v="FLAT10"/>
    <n v="10"/>
    <n v="7"/>
    <s v="Before_time"/>
    <n v="70"/>
    <n v="5"/>
    <d v="2023-04-13T00:00:00"/>
    <x v="2"/>
    <x v="3"/>
    <s v="14:02:18"/>
    <n v="1528"/>
    <n v="162"/>
    <n v="1458"/>
    <n v="1620"/>
  </r>
  <r>
    <s v="CID181"/>
    <s v="Alexandra Smith "/>
    <s v="Alexandra"/>
    <s v="Smith"/>
    <n v="70"/>
    <s v="&gt;45"/>
    <x v="0"/>
    <s v="Phoenix"/>
    <s v="alexandra.smith@rediffmail.com"/>
    <x v="1"/>
    <s v="48611 Clark Village, West Anne, GA 92865"/>
    <s v="OID9628"/>
    <d v="2024-06-12T00:00:00"/>
    <s v="06:20:30"/>
    <s v="PID027"/>
    <n v="481.48"/>
    <n v="3"/>
    <s v="FLAT20"/>
    <n v="20"/>
    <n v="5"/>
    <s v="Late_Delivery"/>
    <n v="49"/>
    <n v="7"/>
    <d v="2024-06-19T00:00:00"/>
    <x v="0"/>
    <x v="6"/>
    <s v="20:45:00"/>
    <n v="1204.5520000000001"/>
    <n v="288.88800000000003"/>
    <n v="1155.5520000000001"/>
    <n v="1444.44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9782"/>
    <d v="2023-05-12T00:00:00"/>
    <s v="17:53:01"/>
    <s v="PID016"/>
    <n v="133.62"/>
    <n v="2"/>
    <s v="FLAT10"/>
    <n v="10"/>
    <n v="4"/>
    <s v="Before_time"/>
    <n v="36"/>
    <n v="1"/>
    <d v="2023-05-13T00:00:00"/>
    <x v="2"/>
    <x v="2"/>
    <s v="05:26:03"/>
    <n v="276.51600000000002"/>
    <n v="26.724"/>
    <n v="240.51600000000002"/>
    <n v="267.24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7302"/>
    <d v="2024-05-02T00:00:00"/>
    <s v="03:43:05"/>
    <s v="PID018"/>
    <n v="62.42"/>
    <n v="4"/>
    <s v="FLAT10"/>
    <n v="10"/>
    <n v="6"/>
    <s v="On_time"/>
    <n v="43"/>
    <n v="6"/>
    <d v="2024-05-08T00:00:00"/>
    <x v="0"/>
    <x v="2"/>
    <s v="17:57:56"/>
    <n v="267.71199999999999"/>
    <n v="24.968000000000004"/>
    <n v="224.71200000000002"/>
    <n v="249.68"/>
  </r>
  <r>
    <s v="CID138"/>
    <s v="Mike Carter "/>
    <s v="Mike"/>
    <s v="Carter"/>
    <n v="59"/>
    <s v="&gt;45"/>
    <x v="2"/>
    <s v="San Francisco"/>
    <s v="mike.carter@rediffmail.com"/>
    <x v="1"/>
    <s v="3971 Ortiz Fields, Lake Jackfort, IA 97132"/>
    <s v="OID4580"/>
    <d v="2024-08-23T00:00:00"/>
    <s v="02:56:56"/>
    <s v="PID004"/>
    <n v="496.59"/>
    <n v="2"/>
    <s v="FLAT8"/>
    <n v="8"/>
    <n v="3"/>
    <s v="Before_time"/>
    <n v="55"/>
    <n v="1"/>
    <d v="2024-08-24T00:00:00"/>
    <x v="0"/>
    <x v="10"/>
    <s v="11:28:09"/>
    <n v="968.72559999999999"/>
    <n v="79.454399999999993"/>
    <n v="913.72559999999999"/>
    <n v="993.18"/>
  </r>
  <r>
    <s v="CID175"/>
    <s v="Katherine Weber "/>
    <s v="Katherine"/>
    <s v="Weber"/>
    <n v="42"/>
    <s v="36-45"/>
    <x v="2"/>
    <s v="New York"/>
    <s v="katherine.weber@outlook.com"/>
    <x v="0"/>
    <s v="04887 Kimberly Union Apt. 645, Port Laura, IL 97219"/>
    <s v="OID7954"/>
    <d v="2023-11-03T00:00:00"/>
    <s v="04:29:06"/>
    <s v="PID020"/>
    <n v="431.44"/>
    <n v="4"/>
    <s v="DEL0"/>
    <n v="0"/>
    <n v="3"/>
    <s v="Late_Delivery"/>
    <n v="65"/>
    <n v="6"/>
    <d v="2023-11-09T00:00:00"/>
    <x v="2"/>
    <x v="11"/>
    <s v="22:44:53"/>
    <n v="1790.76"/>
    <n v="0"/>
    <n v="1725.76"/>
    <n v="1725.76"/>
  </r>
  <r>
    <s v="CID184"/>
    <s v="Aaron Thompson "/>
    <s v="Aaron"/>
    <s v="Thompson"/>
    <n v="47"/>
    <s v="&gt;45"/>
    <x v="1"/>
    <s v="Los Angeles"/>
    <s v="aaron.thompson@gmail.com"/>
    <x v="2"/>
    <s v="PSC 0550, Box 2737, APO AE 75772"/>
    <s v="OID6246"/>
    <d v="2024-08-09T00:00:00"/>
    <s v="10:04:49"/>
    <s v="PID032"/>
    <n v="424.82"/>
    <n v="2"/>
    <s v="DEL0"/>
    <n v="0"/>
    <n v="2"/>
    <s v="Late_Delivery"/>
    <n v="57"/>
    <n v="7"/>
    <d v="2024-08-16T00:00:00"/>
    <x v="0"/>
    <x v="10"/>
    <s v="22:07:13"/>
    <n v="906.64"/>
    <n v="0"/>
    <n v="849.64"/>
    <n v="849.64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5671"/>
    <d v="2024-10-02T00:00:00"/>
    <s v="23:44:50"/>
    <s v="PID038"/>
    <n v="421.7"/>
    <n v="3"/>
    <s v="FLAT8"/>
    <n v="8"/>
    <n v="5"/>
    <s v="Before_time"/>
    <n v="54"/>
    <n v="4"/>
    <d v="2024-10-06T00:00:00"/>
    <x v="0"/>
    <x v="8"/>
    <s v="04:23:25"/>
    <n v="1217.8920000000001"/>
    <n v="101.208"/>
    <n v="1163.8920000000001"/>
    <n v="1265.0999999999999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3145"/>
    <d v="2023-08-19T00:00:00"/>
    <s v="17:40:16"/>
    <s v="PID041"/>
    <n v="372.62"/>
    <n v="1"/>
    <s v="FLAT10"/>
    <n v="10"/>
    <n v="5"/>
    <s v="Late_Delivery"/>
    <n v="45"/>
    <n v="7"/>
    <d v="2023-08-26T00:00:00"/>
    <x v="2"/>
    <x v="10"/>
    <s v="19:38:50"/>
    <n v="380.358"/>
    <n v="37.262"/>
    <n v="335.358"/>
    <n v="372.62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8575"/>
    <d v="2024-09-22T00:00:00"/>
    <s v="09:51:24"/>
    <s v="PID024"/>
    <n v="104.18"/>
    <n v="1"/>
    <s v="FLAT8"/>
    <n v="8"/>
    <n v="3"/>
    <s v="Late_Delivery"/>
    <n v="60"/>
    <n v="6"/>
    <d v="2024-09-28T00:00:00"/>
    <x v="0"/>
    <x v="4"/>
    <s v="00:10:27"/>
    <n v="155.84559999999999"/>
    <n v="8.3344000000000005"/>
    <n v="95.845600000000005"/>
    <n v="104.18"/>
  </r>
  <r>
    <s v="CID171"/>
    <s v="Leslie Montgomery "/>
    <s v="Leslie"/>
    <s v="Montgomery"/>
    <n v="26"/>
    <s v="26-35"/>
    <x v="1"/>
    <s v="Chicago"/>
    <s v="leslie.montgomery@gmail.com"/>
    <x v="2"/>
    <s v="135 Teresa Oval Apt. 825, East Katherineport, WY 13714"/>
    <s v="OID7910"/>
    <d v="2023-06-27T00:00:00"/>
    <s v="05:56:42"/>
    <s v="PID042"/>
    <n v="175.93"/>
    <n v="2"/>
    <s v="FLAT8"/>
    <n v="8"/>
    <n v="5"/>
    <s v="Before_time"/>
    <n v="49"/>
    <n v="2"/>
    <d v="2023-06-29T00:00:00"/>
    <x v="2"/>
    <x v="6"/>
    <s v="03:42:23"/>
    <n v="372.71120000000002"/>
    <n v="28.148800000000001"/>
    <n v="323.71120000000002"/>
    <n v="351.86"/>
  </r>
  <r>
    <s v="CID104"/>
    <s v="Gary Huff "/>
    <s v="Gary"/>
    <s v="Huff"/>
    <n v="18"/>
    <s v="0-25"/>
    <x v="0"/>
    <s v="New York"/>
    <s v="gary.huff@gmail.com"/>
    <x v="2"/>
    <s v="58608 Alexander Terrace, South Bryan, SC 85541"/>
    <s v="OID1179"/>
    <d v="2024-09-28T00:00:00"/>
    <s v="06:33:59"/>
    <s v="PID018"/>
    <n v="62.42"/>
    <n v="1"/>
    <s v="FLAT8"/>
    <n v="8"/>
    <n v="3"/>
    <s v="Before_time"/>
    <n v="46"/>
    <n v="2"/>
    <d v="2024-09-30T00:00:00"/>
    <x v="0"/>
    <x v="4"/>
    <s v="13:29:05"/>
    <n v="103.4264"/>
    <n v="4.9935999999999998"/>
    <n v="57.426400000000001"/>
    <n v="62.42"/>
  </r>
  <r>
    <s v="CID135"/>
    <s v="Amanda Howard "/>
    <s v="Amanda"/>
    <s v="Howard"/>
    <n v="52"/>
    <s v="&gt;45"/>
    <x v="2"/>
    <s v="Dallas"/>
    <s v="amanda.howard@outlook.com"/>
    <x v="0"/>
    <s v="56908 Sydney Park Suite 632, West Anthonyport, NC 15954"/>
    <s v="OID1041"/>
    <d v="2023-12-19T00:00:00"/>
    <s v="01:23:40"/>
    <s v="PID003"/>
    <n v="20.7"/>
    <n v="2"/>
    <s v="FLAT8"/>
    <n v="8"/>
    <n v="7"/>
    <s v="On_time"/>
    <n v="39"/>
    <n v="7"/>
    <d v="2023-12-26T00:00:00"/>
    <x v="2"/>
    <x v="7"/>
    <s v="19:01:55"/>
    <n v="77.087999999999994"/>
    <n v="3.3119999999999998"/>
    <n v="38.088000000000001"/>
    <n v="41.4"/>
  </r>
  <r>
    <s v="CID176"/>
    <s v="Joshua Campbell "/>
    <s v="Joshua"/>
    <s v="Campbell"/>
    <n v="24"/>
    <s v="0-25"/>
    <x v="0"/>
    <s v="Chicago"/>
    <s v="joshua.campbell@gmail.com"/>
    <x v="2"/>
    <s v="70426 Lindsey Overpass Apt. 030, Jessicafurt, AR 46269"/>
    <s v="OID1693"/>
    <d v="2023-10-07T00:00:00"/>
    <s v="18:29:39"/>
    <s v="PID047"/>
    <n v="190.1"/>
    <n v="1"/>
    <s v="FLAT20"/>
    <n v="20"/>
    <n v="3"/>
    <s v="Before_time"/>
    <n v="63"/>
    <n v="1"/>
    <d v="2023-10-08T00:00:00"/>
    <x v="2"/>
    <x v="8"/>
    <s v="02:01:44"/>
    <n v="215.08"/>
    <n v="38.020000000000003"/>
    <n v="152.08000000000001"/>
    <n v="190.1"/>
  </r>
  <r>
    <s v="CID142"/>
    <s v="Thomas Owens "/>
    <s v="Thomas"/>
    <s v="Owens"/>
    <n v="34"/>
    <s v="26-35"/>
    <x v="2"/>
    <s v="Dallas"/>
    <s v="thomas.owens@outlook.com"/>
    <x v="0"/>
    <s v="43920 Shaffer Valley Suite 531, South Jerry, MD 67120"/>
    <s v="OID8609"/>
    <d v="2024-02-02T00:00:00"/>
    <s v="13:33:06"/>
    <s v="PID050"/>
    <n v="158.53"/>
    <n v="3"/>
    <s v="FLAT20"/>
    <n v="20"/>
    <n v="6"/>
    <s v="Late_Delivery"/>
    <n v="38"/>
    <n v="7"/>
    <d v="2024-02-09T00:00:00"/>
    <x v="0"/>
    <x v="1"/>
    <s v="04:01:49"/>
    <n v="418.47200000000004"/>
    <n v="95.118000000000009"/>
    <n v="380.47200000000004"/>
    <n v="475.59000000000003"/>
  </r>
  <r>
    <s v="CID102"/>
    <s v="Jessica Ruiz "/>
    <s v="Jessica"/>
    <s v="Ruiz"/>
    <n v="19"/>
    <s v="0-25"/>
    <x v="1"/>
    <s v="New York"/>
    <s v="jessica.ruiz@rediffmail.com"/>
    <x v="1"/>
    <s v="02370 Laura Station Suite 309, Brandonville, DE 18875"/>
    <s v="OID9578"/>
    <d v="2023-12-12T00:00:00"/>
    <s v="15:56:55"/>
    <s v="PID010"/>
    <n v="44.5"/>
    <n v="1"/>
    <s v="FLAT10"/>
    <n v="10"/>
    <n v="4"/>
    <s v="Late_Delivery"/>
    <n v="49"/>
    <n v="6"/>
    <d v="2023-12-18T00:00:00"/>
    <x v="2"/>
    <x v="7"/>
    <s v="18:16:24"/>
    <n v="89.050000000000011"/>
    <n v="4.45"/>
    <n v="40.050000000000004"/>
    <n v="44.5"/>
  </r>
  <r>
    <s v="CID155"/>
    <s v="Courtney Parker "/>
    <s v="Courtney"/>
    <s v="Parker"/>
    <n v="29"/>
    <s v="26-35"/>
    <x v="2"/>
    <s v="Los Angeles"/>
    <s v="courtney.parker@yahoo.com"/>
    <x v="3"/>
    <s v="087 Jacqueline Rue Apt. 694, East Tasha, SC 04859"/>
    <s v="OID5985"/>
    <d v="2024-11-20T00:00:00"/>
    <s v="14:57:23"/>
    <s v="PID021"/>
    <n v="129.75"/>
    <n v="2"/>
    <s v="DEL0"/>
    <n v="0"/>
    <n v="4"/>
    <s v="On_time"/>
    <n v="53"/>
    <n v="4"/>
    <d v="2024-11-24T00:00:00"/>
    <x v="0"/>
    <x v="11"/>
    <s v="09:49:51"/>
    <n v="312.5"/>
    <n v="0"/>
    <n v="259.5"/>
    <n v="259.5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2571"/>
    <d v="2024-02-02T00:00:00"/>
    <s v="19:33:36"/>
    <s v="PID042"/>
    <n v="175.93"/>
    <n v="2"/>
    <s v="DEL0"/>
    <n v="0"/>
    <n v="6"/>
    <s v="Before_time"/>
    <n v="50"/>
    <n v="1"/>
    <d v="2024-02-03T00:00:00"/>
    <x v="0"/>
    <x v="1"/>
    <s v="06:30:50"/>
    <n v="401.86"/>
    <n v="0"/>
    <n v="351.86"/>
    <n v="351.86"/>
  </r>
  <r>
    <s v="CID173"/>
    <s v="Susan Thompson "/>
    <s v="Susan"/>
    <s v="Thompson"/>
    <n v="37"/>
    <s v="36-45"/>
    <x v="2"/>
    <s v="Dallas"/>
    <s v="susan.thompson@outlook.com"/>
    <x v="0"/>
    <s v="47821 William Station, East Ashleymouth, FL 20562"/>
    <s v="OID6045"/>
    <d v="2025-01-14T00:00:00"/>
    <s v="17:53:46"/>
    <s v="PID038"/>
    <n v="421.7"/>
    <n v="5"/>
    <s v="FLAT15"/>
    <n v="15"/>
    <n v="2"/>
    <s v="Late_Delivery"/>
    <n v="56"/>
    <n v="3"/>
    <d v="2025-01-17T00:00:00"/>
    <x v="1"/>
    <x v="5"/>
    <s v="18:13:08"/>
    <n v="1848.2249999999999"/>
    <n v="316.27499999999998"/>
    <n v="1792.2249999999999"/>
    <n v="2108.5"/>
  </r>
  <r>
    <s v="CID144"/>
    <s v="William Mann "/>
    <s v="William"/>
    <s v="Mann"/>
    <n v="21"/>
    <s v="0-25"/>
    <x v="0"/>
    <s v="Houston"/>
    <s v="william.mann@yahoo.com"/>
    <x v="3"/>
    <s v="849 Tran Wells, New Lindsayville, WI 22669"/>
    <s v="OID1336"/>
    <d v="2023-05-18T00:00:00"/>
    <s v="13:40:58"/>
    <s v="PID005"/>
    <n v="445.81"/>
    <n v="1"/>
    <s v="FLAT20"/>
    <n v="20"/>
    <n v="7"/>
    <s v="On_time"/>
    <n v="41"/>
    <n v="7"/>
    <d v="2023-05-25T00:00:00"/>
    <x v="2"/>
    <x v="2"/>
    <s v="02:14:28"/>
    <n v="397.64800000000002"/>
    <n v="89.162000000000006"/>
    <n v="356.64800000000002"/>
    <n v="445.81"/>
  </r>
  <r>
    <s v="CID183"/>
    <s v="Troy Gomez "/>
    <s v="Troy"/>
    <s v="Gomez"/>
    <n v="68"/>
    <s v="&gt;45"/>
    <x v="0"/>
    <s v="Dallas"/>
    <s v="troy.gomez@outlook.com"/>
    <x v="0"/>
    <s v="7510 Jose Knolls, Candicechester, LA 62815"/>
    <s v="OID7117"/>
    <d v="2023-02-16T00:00:00"/>
    <s v="04:49:20"/>
    <s v="PID017"/>
    <n v="425.59"/>
    <n v="2"/>
    <s v="DEL0"/>
    <n v="0"/>
    <n v="2"/>
    <s v="Late_Delivery"/>
    <n v="67"/>
    <n v="4"/>
    <d v="2023-02-20T00:00:00"/>
    <x v="2"/>
    <x v="1"/>
    <s v="16:13:35"/>
    <n v="918.18"/>
    <n v="0"/>
    <n v="851.18"/>
    <n v="851.18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3749"/>
    <d v="2024-08-11T00:00:00"/>
    <s v="16:34:44"/>
    <s v="PID017"/>
    <n v="425.59"/>
    <n v="1"/>
    <s v="FLAT8"/>
    <n v="8"/>
    <n v="1"/>
    <s v="Late_Delivery"/>
    <n v="62"/>
    <n v="3"/>
    <d v="2024-08-14T00:00:00"/>
    <x v="0"/>
    <x v="10"/>
    <s v="16:28:56"/>
    <n v="453.5428"/>
    <n v="34.047199999999997"/>
    <n v="391.5428"/>
    <n v="425.59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7008"/>
    <d v="2023-02-19T00:00:00"/>
    <s v="04:12:20"/>
    <s v="PID026"/>
    <n v="128.13999999999999"/>
    <n v="1"/>
    <s v="FLAT10"/>
    <n v="10"/>
    <n v="1"/>
    <s v="Late_Delivery"/>
    <n v="39"/>
    <n v="6"/>
    <d v="2023-02-25T00:00:00"/>
    <x v="2"/>
    <x v="1"/>
    <s v="01:46:13"/>
    <n v="154.32599999999999"/>
    <n v="12.813999999999998"/>
    <n v="115.32599999999999"/>
    <n v="128.13999999999999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8913"/>
    <d v="2025-01-27T00:00:00"/>
    <s v="20:53:04"/>
    <s v="PID013"/>
    <n v="235.63"/>
    <n v="1"/>
    <s v="FLAT20"/>
    <n v="20"/>
    <n v="7"/>
    <s v="Before_time"/>
    <n v="46"/>
    <n v="5"/>
    <d v="2025-02-01T00:00:00"/>
    <x v="1"/>
    <x v="1"/>
    <s v="00:48:16"/>
    <n v="234.50400000000002"/>
    <n v="47.126000000000005"/>
    <n v="188.50400000000002"/>
    <n v="235.63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1597"/>
    <d v="2024-04-18T00:00:00"/>
    <s v="05:27:44"/>
    <s v="PID036"/>
    <n v="157.63999999999999"/>
    <n v="2"/>
    <s v="FLAT20"/>
    <n v="20"/>
    <n v="1"/>
    <s v="On_time"/>
    <n v="57"/>
    <n v="1"/>
    <d v="2024-04-19T00:00:00"/>
    <x v="0"/>
    <x v="3"/>
    <s v="21:00:17"/>
    <n v="309.22399999999999"/>
    <n v="63.055999999999997"/>
    <n v="252.22399999999999"/>
    <n v="315.27999999999997"/>
  </r>
  <r>
    <s v="CID119"/>
    <s v="Amy Griffin "/>
    <s v="Amy"/>
    <s v="Griffin"/>
    <n v="29"/>
    <s v="26-35"/>
    <x v="0"/>
    <s v="Houston"/>
    <s v="amy.griffin@rediffmail.com"/>
    <x v="1"/>
    <s v="07350 Aaron Meadow Suite 138, Kiaraberg, AL 79545"/>
    <s v="OID4412"/>
    <d v="2023-07-01T00:00:00"/>
    <s v="06:35:14"/>
    <s v="PID012"/>
    <n v="132.97"/>
    <n v="3"/>
    <s v="FLAT15"/>
    <n v="15"/>
    <n v="3"/>
    <s v="Before_time"/>
    <n v="36"/>
    <n v="2"/>
    <d v="2023-07-03T00:00:00"/>
    <x v="2"/>
    <x v="9"/>
    <s v="23:36:21"/>
    <n v="375.07349999999997"/>
    <n v="59.836499999999994"/>
    <n v="339.07349999999997"/>
    <n v="398.90999999999997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3900"/>
    <d v="2023-08-05T00:00:00"/>
    <s v="20:14:30"/>
    <s v="PID027"/>
    <n v="481.48"/>
    <n v="1"/>
    <s v="FLAT15"/>
    <n v="15"/>
    <n v="4"/>
    <s v="Late_Delivery"/>
    <n v="67"/>
    <n v="7"/>
    <d v="2023-08-12T00:00:00"/>
    <x v="2"/>
    <x v="10"/>
    <s v="12:31:00"/>
    <n v="476.25799999999998"/>
    <n v="72.222000000000008"/>
    <n v="409.25799999999998"/>
    <n v="481.48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9756"/>
    <d v="2023-10-12T00:00:00"/>
    <s v="06:46:07"/>
    <s v="PID027"/>
    <n v="481.48"/>
    <n v="2"/>
    <s v="FLAT10"/>
    <n v="10"/>
    <n v="7"/>
    <s v="On_time"/>
    <n v="66"/>
    <n v="7"/>
    <d v="2023-10-19T00:00:00"/>
    <x v="2"/>
    <x v="8"/>
    <s v="19:17:45"/>
    <n v="932.6640000000001"/>
    <n v="96.296000000000006"/>
    <n v="866.6640000000001"/>
    <n v="962.96"/>
  </r>
  <r>
    <s v="CID151"/>
    <s v="William Richmond "/>
    <s v="William"/>
    <s v="Richmond"/>
    <n v="57"/>
    <s v="&gt;45"/>
    <x v="2"/>
    <s v="Miami"/>
    <s v="william.richmond@outlook.com"/>
    <x v="0"/>
    <s v="4021 Brown Orchard Apt. 026, Christinahaven, OK 18499"/>
    <s v="OID8307"/>
    <d v="2023-08-09T00:00:00"/>
    <s v="23:19:47"/>
    <s v="PID050"/>
    <n v="158.53"/>
    <n v="5"/>
    <s v="FLAT20"/>
    <n v="20"/>
    <n v="1"/>
    <s v="Late_Delivery"/>
    <n v="46"/>
    <n v="4"/>
    <d v="2023-08-13T00:00:00"/>
    <x v="2"/>
    <x v="10"/>
    <s v="16:06:37"/>
    <n v="680.12"/>
    <n v="158.53"/>
    <n v="634.12"/>
    <n v="792.65"/>
  </r>
  <r>
    <s v="CID122"/>
    <s v="Jared Horn "/>
    <s v="Jared"/>
    <s v="Horn"/>
    <n v="43"/>
    <s v="36-45"/>
    <x v="0"/>
    <s v="Miami"/>
    <s v="jared.horn@outlook.com"/>
    <x v="0"/>
    <s v="43325 Barbara Tunnel, Port James, LA 16246"/>
    <s v="OID5575"/>
    <d v="2024-12-11T00:00:00"/>
    <s v="12:50:48"/>
    <s v="PID014"/>
    <n v="272.51"/>
    <n v="2"/>
    <s v="FLAT20"/>
    <n v="20"/>
    <n v="5"/>
    <s v="Before_time"/>
    <n v="37"/>
    <n v="3"/>
    <d v="2024-12-14T00:00:00"/>
    <x v="0"/>
    <x v="7"/>
    <s v="19:56:33"/>
    <n v="473.01600000000002"/>
    <n v="109.00399999999999"/>
    <n v="436.01600000000002"/>
    <n v="545.02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5883"/>
    <d v="2024-12-30T00:00:00"/>
    <s v="21:08:26"/>
    <s v="PID024"/>
    <n v="104.18"/>
    <n v="2"/>
    <s v="FLAT15"/>
    <n v="15"/>
    <n v="5"/>
    <s v="Before_time"/>
    <n v="65"/>
    <n v="1"/>
    <d v="2024-12-31T00:00:00"/>
    <x v="0"/>
    <x v="7"/>
    <s v="09:20:03"/>
    <n v="242.10599999999999"/>
    <n v="31.254000000000001"/>
    <n v="177.10599999999999"/>
    <n v="208.36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6340"/>
    <d v="2024-07-06T00:00:00"/>
    <s v="10:50:30"/>
    <s v="PID044"/>
    <n v="20"/>
    <n v="2"/>
    <s v="FLAT10"/>
    <n v="10"/>
    <n v="3"/>
    <s v="Late_Delivery"/>
    <n v="38"/>
    <n v="6"/>
    <d v="2024-07-12T00:00:00"/>
    <x v="0"/>
    <x v="9"/>
    <s v="16:59:14"/>
    <n v="74"/>
    <n v="4"/>
    <n v="36"/>
    <n v="40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2501"/>
    <d v="2024-07-28T00:00:00"/>
    <s v="11:53:55"/>
    <s v="PID032"/>
    <n v="424.82"/>
    <n v="1"/>
    <s v="FLAT8"/>
    <n v="8"/>
    <n v="5"/>
    <s v="Late_Delivery"/>
    <n v="49"/>
    <n v="7"/>
    <d v="2024-08-04T00:00:00"/>
    <x v="0"/>
    <x v="10"/>
    <s v="00:56:01"/>
    <n v="439.83440000000002"/>
    <n v="33.985599999999998"/>
    <n v="390.83440000000002"/>
    <n v="424.82"/>
  </r>
  <r>
    <s v="CID141"/>
    <s v="Megan Hunt "/>
    <s v="Megan"/>
    <s v="Hunt"/>
    <n v="63"/>
    <s v="&gt;45"/>
    <x v="0"/>
    <s v="San Francisco"/>
    <s v="megan.hunt@rediffmail.com"/>
    <x v="1"/>
    <s v="03765 Velazquez Knoll Suite 478, Richardshire, UT 17200"/>
    <s v="OID6973"/>
    <d v="2023-06-30T00:00:00"/>
    <s v="04:03:12"/>
    <s v="PID039"/>
    <n v="220.27"/>
    <n v="5"/>
    <s v="FLAT20"/>
    <n v="20"/>
    <n v="6"/>
    <s v="Before_time"/>
    <n v="57"/>
    <n v="2"/>
    <d v="2023-07-02T00:00:00"/>
    <x v="2"/>
    <x v="9"/>
    <s v="13:27:06"/>
    <n v="938.08000000000015"/>
    <n v="220.27000000000004"/>
    <n v="881.08000000000015"/>
    <n v="1101.3500000000001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6597"/>
    <d v="2024-08-23T00:00:00"/>
    <s v="19:44:28"/>
    <s v="PID017"/>
    <n v="425.59"/>
    <n v="5"/>
    <s v="DEL0"/>
    <n v="0"/>
    <n v="4"/>
    <s v="On_time"/>
    <n v="43"/>
    <n v="4"/>
    <d v="2024-08-27T00:00:00"/>
    <x v="0"/>
    <x v="10"/>
    <s v="02:51:48"/>
    <n v="2170.9499999999998"/>
    <n v="0"/>
    <n v="2127.9499999999998"/>
    <n v="2127.9499999999998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4840"/>
    <d v="2024-05-08T00:00:00"/>
    <s v="12:38:37"/>
    <s v="PID033"/>
    <n v="48.45"/>
    <n v="3"/>
    <s v="FLAT10"/>
    <n v="10"/>
    <n v="2"/>
    <s v="On_time"/>
    <n v="63"/>
    <n v="2"/>
    <d v="2024-05-10T00:00:00"/>
    <x v="0"/>
    <x v="2"/>
    <s v="19:14:57"/>
    <n v="193.81500000000003"/>
    <n v="14.535000000000002"/>
    <n v="130.81500000000003"/>
    <n v="145.35000000000002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5389"/>
    <d v="2023-09-17T00:00:00"/>
    <s v="14:52:37"/>
    <s v="PID024"/>
    <n v="104.18"/>
    <n v="2"/>
    <s v="FLAT8"/>
    <n v="8"/>
    <n v="4"/>
    <s v="On_time"/>
    <n v="43"/>
    <n v="4"/>
    <d v="2023-09-21T00:00:00"/>
    <x v="2"/>
    <x v="4"/>
    <s v="09:59:33"/>
    <n v="234.69120000000001"/>
    <n v="16.668800000000001"/>
    <n v="191.69120000000001"/>
    <n v="208.36"/>
  </r>
  <r>
    <s v="CID154"/>
    <s v="Angela Casey "/>
    <s v="Angela"/>
    <s v="Casey"/>
    <n v="40"/>
    <s v="36-45"/>
    <x v="0"/>
    <s v="New York"/>
    <s v="angela.casey@gmail.com"/>
    <x v="2"/>
    <s v="089 Farley Terrace, Thomashaven, MT 56607"/>
    <s v="OID8649"/>
    <d v="2023-09-26T00:00:00"/>
    <s v="08:43:40"/>
    <s v="PID005"/>
    <n v="445.81"/>
    <n v="1"/>
    <s v="DEL0"/>
    <n v="0"/>
    <n v="1"/>
    <s v="Late_Delivery"/>
    <n v="51"/>
    <n v="3"/>
    <d v="2023-09-29T00:00:00"/>
    <x v="2"/>
    <x v="4"/>
    <s v="05:13:28"/>
    <n v="496.81"/>
    <n v="0"/>
    <n v="445.81"/>
    <n v="445.81"/>
  </r>
  <r>
    <s v="CID157"/>
    <s v="Sarah Benson "/>
    <s v="Sarah"/>
    <s v="Benson"/>
    <n v="40"/>
    <s v="36-45"/>
    <x v="2"/>
    <s v="Dallas"/>
    <s v="sarah.benson@outlook.com"/>
    <x v="0"/>
    <s v="5399 Hayes Well, West Pennystad, IL 93798"/>
    <s v="OID2779"/>
    <d v="2024-10-08T00:00:00"/>
    <s v="03:11:02"/>
    <s v="PID012"/>
    <n v="132.97"/>
    <n v="2"/>
    <s v="FLAT10"/>
    <n v="10"/>
    <n v="6"/>
    <s v="Before_time"/>
    <n v="69"/>
    <n v="5"/>
    <d v="2024-10-13T00:00:00"/>
    <x v="0"/>
    <x v="8"/>
    <s v="19:39:57"/>
    <n v="308.346"/>
    <n v="26.594000000000001"/>
    <n v="239.346"/>
    <n v="265.94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4185"/>
    <d v="2024-04-02T00:00:00"/>
    <s v="17:17:44"/>
    <s v="PID038"/>
    <n v="421.7"/>
    <n v="4"/>
    <s v="FLAT8"/>
    <n v="8"/>
    <n v="5"/>
    <s v="On_time"/>
    <n v="55"/>
    <n v="5"/>
    <d v="2024-04-07T00:00:00"/>
    <x v="0"/>
    <x v="3"/>
    <s v="11:45:52"/>
    <n v="1606.856"/>
    <n v="134.94399999999999"/>
    <n v="1551.856"/>
    <n v="1686.8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1243"/>
    <d v="2024-04-06T00:00:00"/>
    <s v="17:27:56"/>
    <s v="PID006"/>
    <n v="477.52"/>
    <n v="1"/>
    <s v="DEL0"/>
    <n v="0"/>
    <n v="7"/>
    <s v="Before_time"/>
    <n v="48"/>
    <n v="5"/>
    <d v="2024-04-11T00:00:00"/>
    <x v="0"/>
    <x v="3"/>
    <s v="05:22:25"/>
    <n v="525.52"/>
    <n v="0"/>
    <n v="477.52"/>
    <n v="477.52"/>
  </r>
  <r>
    <s v="CID129"/>
    <s v="Rebecca Figueroa "/>
    <s v="Rebecca"/>
    <s v="Figueroa"/>
    <n v="63"/>
    <s v="&gt;45"/>
    <x v="0"/>
    <s v="Miami"/>
    <s v="rebecca.figueroa@outlook.com"/>
    <x v="0"/>
    <s v="3959 Bell Dale, North Jacob, LA 07934"/>
    <s v="OID4147"/>
    <d v="2024-11-27T00:00:00"/>
    <s v="03:23:04"/>
    <s v="PID044"/>
    <n v="20"/>
    <n v="2"/>
    <s v="DEL0"/>
    <n v="0"/>
    <n v="5"/>
    <s v="Late_Delivery"/>
    <n v="55"/>
    <n v="6"/>
    <d v="2024-12-03T00:00:00"/>
    <x v="0"/>
    <x v="7"/>
    <s v="05:02:16"/>
    <n v="95"/>
    <n v="0"/>
    <n v="40"/>
    <n v="40"/>
  </r>
  <r>
    <s v="CID193"/>
    <s v="Ashley Rose "/>
    <s v="Ashley"/>
    <s v="Rose"/>
    <n v="60"/>
    <s v="&gt;45"/>
    <x v="2"/>
    <s v="Phoenix"/>
    <s v="ashley.rose@gmail.com"/>
    <x v="2"/>
    <s v="424 Nichols Curve Suite 177, Lake Brianview, TX 17289"/>
    <s v="OID3681"/>
    <d v="2024-07-25T00:00:00"/>
    <s v="08:45:23"/>
    <s v="PID013"/>
    <n v="235.63"/>
    <n v="1"/>
    <s v="FLAT10"/>
    <n v="10"/>
    <n v="1"/>
    <s v="Late_Delivery"/>
    <n v="38"/>
    <n v="6"/>
    <d v="2024-07-31T00:00:00"/>
    <x v="0"/>
    <x v="9"/>
    <s v="15:13:07"/>
    <n v="250.06700000000001"/>
    <n v="23.563000000000002"/>
    <n v="212.06700000000001"/>
    <n v="235.63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5229"/>
    <d v="2023-12-29T00:00:00"/>
    <s v="08:36:31"/>
    <s v="PID045"/>
    <n v="33.49"/>
    <n v="4"/>
    <s v="FLAT15"/>
    <n v="15"/>
    <n v="4"/>
    <s v="Late_Delivery"/>
    <n v="67"/>
    <n v="5"/>
    <d v="2024-01-03T00:00:00"/>
    <x v="0"/>
    <x v="5"/>
    <s v="19:33:15"/>
    <n v="180.86599999999999"/>
    <n v="20.094000000000001"/>
    <n v="113.866"/>
    <n v="133.96"/>
  </r>
  <r>
    <s v="CID121"/>
    <s v="Julie Meyer "/>
    <s v="Julie"/>
    <s v="Meyer"/>
    <n v="23"/>
    <s v="0-25"/>
    <x v="0"/>
    <s v="Phoenix"/>
    <s v="julie.meyer@yahoo.com"/>
    <x v="3"/>
    <s v="17381 Smith Ramp Suite 398, Courtneyville, AL 17756"/>
    <s v="OID9990"/>
    <d v="2023-12-11T00:00:00"/>
    <s v="21:53:54"/>
    <s v="PID048"/>
    <n v="136.30000000000001"/>
    <n v="4"/>
    <s v="FLAT10"/>
    <n v="10"/>
    <n v="1"/>
    <s v="Late_Delivery"/>
    <n v="35"/>
    <n v="4"/>
    <d v="2023-12-15T00:00:00"/>
    <x v="2"/>
    <x v="7"/>
    <s v="23:00:06"/>
    <n v="525.68000000000006"/>
    <n v="54.52"/>
    <n v="490.68000000000006"/>
    <n v="545.20000000000005"/>
  </r>
  <r>
    <s v="CID127"/>
    <s v="Natasha Michael "/>
    <s v="Natasha"/>
    <s v="Michael"/>
    <n v="49"/>
    <s v="&gt;45"/>
    <x v="0"/>
    <s v="Houston"/>
    <s v="natasha.michael@gmail.com"/>
    <x v="2"/>
    <s v="78992 Justin Estates Suite 226, Floresberg, NM 40797"/>
    <s v="OID1756"/>
    <d v="2023-07-15T00:00:00"/>
    <s v="10:58:30"/>
    <s v="PID030"/>
    <n v="282.63"/>
    <n v="4"/>
    <s v="FLAT10"/>
    <n v="10"/>
    <n v="1"/>
    <s v="Late_Delivery"/>
    <n v="48"/>
    <n v="3"/>
    <d v="2023-07-18T00:00:00"/>
    <x v="2"/>
    <x v="9"/>
    <s v="13:36:46"/>
    <n v="1065.4679999999998"/>
    <n v="113.05200000000001"/>
    <n v="1017.468"/>
    <n v="1130.52"/>
  </r>
  <r>
    <s v="CID171"/>
    <s v="Leslie Montgomery "/>
    <s v="Leslie"/>
    <s v="Montgomery"/>
    <n v="26"/>
    <s v="26-35"/>
    <x v="1"/>
    <s v="Chicago"/>
    <s v="leslie.montgomery@gmail.com"/>
    <x v="2"/>
    <s v="135 Teresa Oval Apt. 825, East Katherineport, WY 13714"/>
    <s v="OID1866"/>
    <d v="2024-12-01T00:00:00"/>
    <s v="05:53:55"/>
    <s v="PID014"/>
    <n v="272.51"/>
    <n v="5"/>
    <s v="FLAT10"/>
    <n v="10"/>
    <n v="4"/>
    <s v="Before_time"/>
    <n v="45"/>
    <n v="3"/>
    <d v="2024-12-04T00:00:00"/>
    <x v="0"/>
    <x v="7"/>
    <s v="02:00:46"/>
    <n v="1271.2950000000001"/>
    <n v="136.255"/>
    <n v="1226.2950000000001"/>
    <n v="1362.55"/>
  </r>
  <r>
    <s v="CID160"/>
    <s v="James Brown "/>
    <s v="James"/>
    <s v="Brown"/>
    <n v="60"/>
    <s v="&gt;45"/>
    <x v="0"/>
    <s v="Miami"/>
    <s v="james.brown@yahoo.com"/>
    <x v="3"/>
    <s v="221 Frey Crossing Suite 192, South Taylorland, HI 72875"/>
    <s v="OID2619"/>
    <d v="2023-05-07T00:00:00"/>
    <s v="11:51:15"/>
    <s v="PID034"/>
    <n v="275.44"/>
    <n v="2"/>
    <s v="FLAT15"/>
    <n v="15"/>
    <n v="4"/>
    <s v="Late_Delivery"/>
    <n v="54"/>
    <n v="6"/>
    <d v="2023-05-13T00:00:00"/>
    <x v="2"/>
    <x v="2"/>
    <s v="10:20:47"/>
    <n v="522.24800000000005"/>
    <n v="82.632000000000005"/>
    <n v="468.24799999999999"/>
    <n v="550.88"/>
  </r>
  <r>
    <s v="CID132"/>
    <s v="Timothy Hicks "/>
    <s v="Timothy"/>
    <s v="Hicks"/>
    <n v="31"/>
    <s v="26-35"/>
    <x v="2"/>
    <s v="Miami"/>
    <s v="timothy.hicks@gmail.com"/>
    <x v="2"/>
    <s v="140 Tracy Fields, Lake Cynthiaton, TX 57190"/>
    <s v="OID2505"/>
    <d v="2023-08-10T00:00:00"/>
    <s v="12:37:13"/>
    <s v="PID049"/>
    <n v="441.03"/>
    <n v="2"/>
    <s v="FLAT8"/>
    <n v="8"/>
    <n v="3"/>
    <s v="On_time"/>
    <n v="62"/>
    <n v="3"/>
    <d v="2023-08-13T00:00:00"/>
    <x v="2"/>
    <x v="10"/>
    <s v="14:41:40"/>
    <n v="873.49519999999995"/>
    <n v="70.564799999999991"/>
    <n v="811.49519999999995"/>
    <n v="882.06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7850"/>
    <d v="2023-12-25T00:00:00"/>
    <s v="14:59:43"/>
    <s v="PID021"/>
    <n v="129.75"/>
    <n v="2"/>
    <s v="FLAT15"/>
    <n v="15"/>
    <n v="1"/>
    <s v="Late_Delivery"/>
    <n v="62"/>
    <n v="5"/>
    <d v="2023-12-30T00:00:00"/>
    <x v="2"/>
    <x v="7"/>
    <s v="06:29:31"/>
    <n v="282.57499999999999"/>
    <n v="38.924999999999997"/>
    <n v="220.57499999999999"/>
    <n v="259.5"/>
  </r>
  <r>
    <s v="CID131"/>
    <s v="Veronica Lopez "/>
    <s v="Veronica"/>
    <s v="Lopez"/>
    <n v="18"/>
    <s v="0-25"/>
    <x v="1"/>
    <s v="Dallas"/>
    <s v="veronica.lopez@gmail.com"/>
    <x v="2"/>
    <s v="660 Karen Station Apt. 887, Allenside, ID 03170"/>
    <s v="OID1966"/>
    <d v="2025-01-25T00:00:00"/>
    <s v="14:04:30"/>
    <s v="PID006"/>
    <n v="477.52"/>
    <n v="3"/>
    <s v="FLAT20"/>
    <n v="20"/>
    <n v="7"/>
    <s v="Before_time"/>
    <n v="41"/>
    <n v="4"/>
    <d v="2025-01-29T00:00:00"/>
    <x v="1"/>
    <x v="5"/>
    <s v="02:17:23"/>
    <n v="1187.048"/>
    <n v="286.51199999999994"/>
    <n v="1146.048"/>
    <n v="1432.56"/>
  </r>
  <r>
    <s v="CID100"/>
    <s v="Sharon Thompson "/>
    <s v="Sharon"/>
    <s v="Thompson"/>
    <n v="57"/>
    <s v="&gt;45"/>
    <x v="1"/>
    <s v="Dallas"/>
    <s v="sharon.thompson@yahoo.com"/>
    <x v="3"/>
    <s v="598 Jasmine Harbor, Turnerberg, SD 02371"/>
    <s v="OID3837"/>
    <d v="2024-06-10T00:00:00"/>
    <s v="19:09:08"/>
    <s v="PID002"/>
    <n v="107.47"/>
    <n v="3"/>
    <s v="FLAT10"/>
    <n v="10"/>
    <n v="4"/>
    <s v="Before_time"/>
    <n v="59"/>
    <n v="1"/>
    <d v="2024-06-11T00:00:00"/>
    <x v="0"/>
    <x v="6"/>
    <s v="23:23:19"/>
    <n v="349.16899999999998"/>
    <n v="32.240999999999993"/>
    <n v="290.16899999999998"/>
    <n v="322.40999999999997"/>
  </r>
  <r>
    <s v="CID188"/>
    <s v="Kristina Haynes "/>
    <s v="Kristina"/>
    <s v="Haynes"/>
    <n v="27"/>
    <s v="26-35"/>
    <x v="0"/>
    <s v="Houston"/>
    <s v="kristina.haynes@yahoo.com"/>
    <x v="3"/>
    <s v="18295 Thomas River, Kochville, NH 80868"/>
    <s v="OID9187"/>
    <d v="2023-09-16T00:00:00"/>
    <s v="23:47:36"/>
    <s v="PID050"/>
    <n v="158.53"/>
    <n v="2"/>
    <s v="FLAT8"/>
    <n v="8"/>
    <n v="2"/>
    <s v="On_time"/>
    <n v="56"/>
    <n v="2"/>
    <d v="2023-09-18T00:00:00"/>
    <x v="2"/>
    <x v="4"/>
    <s v="04:39:51"/>
    <n v="347.6952"/>
    <n v="25.364799999999999"/>
    <n v="291.6952"/>
    <n v="317.06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3760"/>
    <d v="2024-05-11T00:00:00"/>
    <s v="09:05:02"/>
    <s v="PID049"/>
    <n v="441.03"/>
    <n v="2"/>
    <s v="DEL0"/>
    <n v="0"/>
    <n v="4"/>
    <s v="Late_Delivery"/>
    <n v="55"/>
    <n v="6"/>
    <d v="2024-05-17T00:00:00"/>
    <x v="0"/>
    <x v="2"/>
    <s v="05:31:50"/>
    <n v="937.06"/>
    <n v="0"/>
    <n v="882.06"/>
    <n v="882.06"/>
  </r>
  <r>
    <s v="CID194"/>
    <s v="Barbara Fuller "/>
    <s v="Barbara"/>
    <s v="Fuller"/>
    <n v="43"/>
    <s v="36-45"/>
    <x v="2"/>
    <s v="Chicago"/>
    <s v="barbara.fuller@rediffmail.com"/>
    <x v="1"/>
    <s v="134 Mcintosh Unions Suite 574, Lake Laura, DE 96577"/>
    <s v="OID7065"/>
    <d v="2023-02-09T00:00:00"/>
    <s v="09:15:42"/>
    <s v="PID009"/>
    <n v="87.09"/>
    <n v="5"/>
    <s v="DEL0"/>
    <n v="0"/>
    <n v="7"/>
    <s v="Before_time"/>
    <n v="56"/>
    <n v="5"/>
    <d v="2023-02-14T00:00:00"/>
    <x v="2"/>
    <x v="1"/>
    <s v="09:33:25"/>
    <n v="491.45000000000005"/>
    <n v="0"/>
    <n v="435.45000000000005"/>
    <n v="435.45000000000005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6906"/>
    <d v="2024-01-12T00:00:00"/>
    <s v="16:29:18"/>
    <s v="PID024"/>
    <n v="104.18"/>
    <n v="4"/>
    <s v="DEL0"/>
    <n v="0"/>
    <n v="3"/>
    <s v="Late_Delivery"/>
    <n v="40"/>
    <n v="5"/>
    <d v="2024-01-17T00:00:00"/>
    <x v="0"/>
    <x v="5"/>
    <s v="19:58:19"/>
    <n v="456.72"/>
    <n v="0"/>
    <n v="416.72"/>
    <n v="416.72"/>
  </r>
  <r>
    <s v="CID175"/>
    <s v="Katherine Weber "/>
    <s v="Katherine"/>
    <s v="Weber"/>
    <n v="42"/>
    <s v="36-45"/>
    <x v="2"/>
    <s v="New York"/>
    <s v="katherine.weber@outlook.com"/>
    <x v="0"/>
    <s v="04887 Kimberly Union Apt. 645, Port Laura, IL 97219"/>
    <s v="OID7996"/>
    <d v="2025-01-09T00:00:00"/>
    <s v="17:23:49"/>
    <s v="PID045"/>
    <n v="33.49"/>
    <n v="1"/>
    <s v="FLAT20"/>
    <n v="20"/>
    <n v="4"/>
    <s v="Before_time"/>
    <n v="61"/>
    <n v="2"/>
    <d v="2025-01-11T00:00:00"/>
    <x v="1"/>
    <x v="5"/>
    <s v="01:46:13"/>
    <n v="87.792000000000002"/>
    <n v="6.6980000000000004"/>
    <n v="26.792000000000002"/>
    <n v="33.49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9247"/>
    <d v="2024-04-04T00:00:00"/>
    <s v="06:51:49"/>
    <s v="PID035"/>
    <n v="433.62"/>
    <n v="4"/>
    <s v="DEL0"/>
    <n v="0"/>
    <n v="1"/>
    <s v="Late_Delivery"/>
    <n v="56"/>
    <n v="6"/>
    <d v="2024-04-10T00:00:00"/>
    <x v="0"/>
    <x v="3"/>
    <s v="08:40:53"/>
    <n v="1790.48"/>
    <n v="0"/>
    <n v="1734.48"/>
    <n v="1734.48"/>
  </r>
  <r>
    <s v="CID142"/>
    <s v="Thomas Owens "/>
    <s v="Thomas"/>
    <s v="Owens"/>
    <n v="34"/>
    <s v="26-35"/>
    <x v="2"/>
    <s v="Dallas"/>
    <s v="thomas.owens@outlook.com"/>
    <x v="0"/>
    <s v="43920 Shaffer Valley Suite 531, South Jerry, MD 67120"/>
    <s v="OID7303"/>
    <d v="2023-06-08T00:00:00"/>
    <s v="23:40:03"/>
    <s v="PID003"/>
    <n v="20.7"/>
    <n v="1"/>
    <s v="DEL0"/>
    <n v="0"/>
    <n v="5"/>
    <s v="Before_time"/>
    <n v="51"/>
    <n v="1"/>
    <d v="2023-06-09T00:00:00"/>
    <x v="2"/>
    <x v="6"/>
    <s v="09:33:08"/>
    <n v="71.7"/>
    <n v="0"/>
    <n v="20.7"/>
    <n v="20.7"/>
  </r>
  <r>
    <s v="CID126"/>
    <s v="Marcus Rogers "/>
    <s v="Marcus"/>
    <s v="Rogers"/>
    <n v="36"/>
    <s v="36-45"/>
    <x v="1"/>
    <s v="Phoenix"/>
    <s v="marcus.rogers@outlook.com"/>
    <x v="0"/>
    <s v="06912 Brown Pine Apt. 763, Teresamouth, HI 24377"/>
    <s v="OID2173"/>
    <d v="2023-04-12T00:00:00"/>
    <s v="00:41:18"/>
    <s v="PID049"/>
    <n v="441.03"/>
    <n v="2"/>
    <s v="FLAT10"/>
    <n v="10"/>
    <n v="4"/>
    <s v="Late_Delivery"/>
    <n v="60"/>
    <n v="5"/>
    <d v="2023-04-17T00:00:00"/>
    <x v="2"/>
    <x v="3"/>
    <s v="09:19:40"/>
    <n v="853.85399999999993"/>
    <n v="88.205999999999989"/>
    <n v="793.85399999999993"/>
    <n v="882.06"/>
  </r>
  <r>
    <s v="CID113"/>
    <s v="Brendan Kelly "/>
    <s v="Brendan"/>
    <s v="Kelly"/>
    <n v="50"/>
    <s v="&gt;45"/>
    <x v="2"/>
    <s v="San Francisco"/>
    <s v="brendan.kelly@rediffmail.com"/>
    <x v="1"/>
    <s v="688 Donald Oval Suite 089, Shepardport, CA 50844"/>
    <s v="OID5367"/>
    <d v="2023-09-14T00:00:00"/>
    <s v="23:27:24"/>
    <s v="PID035"/>
    <n v="433.62"/>
    <n v="2"/>
    <s v="DEL0"/>
    <n v="0"/>
    <n v="1"/>
    <s v="Late_Delivery"/>
    <n v="46"/>
    <n v="3"/>
    <d v="2023-09-17T00:00:00"/>
    <x v="2"/>
    <x v="4"/>
    <s v="06:00:22"/>
    <n v="913.24"/>
    <n v="0"/>
    <n v="867.24"/>
    <n v="867.24"/>
  </r>
  <r>
    <s v="CID179"/>
    <s v="Christian Clayton "/>
    <s v="Christian"/>
    <s v="Clayton"/>
    <n v="39"/>
    <s v="36-45"/>
    <x v="1"/>
    <s v="Chicago"/>
    <s v="christian.clayton@yahoo.com"/>
    <x v="3"/>
    <s v="065 Madison Way, Smithstad, CT 68011"/>
    <s v="OID9748"/>
    <d v="2024-04-05T00:00:00"/>
    <s v="02:46:27"/>
    <s v="PID032"/>
    <n v="424.82"/>
    <n v="5"/>
    <s v="FLAT10"/>
    <n v="10"/>
    <n v="7"/>
    <s v="Before_time"/>
    <n v="37"/>
    <n v="6"/>
    <d v="2024-04-11T00:00:00"/>
    <x v="0"/>
    <x v="3"/>
    <s v="06:40:47"/>
    <n v="1948.69"/>
    <n v="212.41"/>
    <n v="1911.69"/>
    <n v="2124.1"/>
  </r>
  <r>
    <s v="CID123"/>
    <s v="Christy Chang "/>
    <s v="Christy"/>
    <s v="Chang"/>
    <n v="38"/>
    <s v="36-45"/>
    <x v="1"/>
    <s v="Dallas"/>
    <s v="christy.chang@outlook.com"/>
    <x v="0"/>
    <s v="4647 Hannah Centers, Rhodesburgh, NH 89363"/>
    <s v="OID6469"/>
    <d v="2024-07-23T00:00:00"/>
    <s v="06:59:53"/>
    <s v="PID035"/>
    <n v="433.62"/>
    <n v="3"/>
    <s v="FLAT10"/>
    <n v="10"/>
    <n v="2"/>
    <s v="Late_Delivery"/>
    <n v="39"/>
    <n v="3"/>
    <d v="2024-07-26T00:00:00"/>
    <x v="0"/>
    <x v="9"/>
    <s v="21:07:49"/>
    <n v="1209.7740000000001"/>
    <n v="130.08600000000001"/>
    <n v="1170.7740000000001"/>
    <n v="1300.8600000000001"/>
  </r>
  <r>
    <s v="CID173"/>
    <s v="Susan Thompson "/>
    <s v="Susan"/>
    <s v="Thompson"/>
    <n v="37"/>
    <s v="36-45"/>
    <x v="2"/>
    <s v="Dallas"/>
    <s v="susan.thompson@outlook.com"/>
    <x v="0"/>
    <s v="47821 William Station, East Ashleymouth, FL 20562"/>
    <s v="OID1013"/>
    <d v="2023-09-18T00:00:00"/>
    <s v="20:28:31"/>
    <s v="PID013"/>
    <n v="235.63"/>
    <n v="1"/>
    <s v="FLAT20"/>
    <n v="20"/>
    <n v="5"/>
    <s v="On_time"/>
    <n v="59"/>
    <n v="5"/>
    <d v="2023-09-23T00:00:00"/>
    <x v="2"/>
    <x v="4"/>
    <s v="22:26:18"/>
    <n v="247.50400000000002"/>
    <n v="47.126000000000005"/>
    <n v="188.50400000000002"/>
    <n v="235.63"/>
  </r>
  <r>
    <s v="CID157"/>
    <s v="Sarah Benson "/>
    <s v="Sarah"/>
    <s v="Benson"/>
    <n v="40"/>
    <s v="36-45"/>
    <x v="2"/>
    <s v="Dallas"/>
    <s v="sarah.benson@outlook.com"/>
    <x v="0"/>
    <s v="5399 Hayes Well, West Pennystad, IL 93798"/>
    <s v="OID1219"/>
    <d v="2023-09-21T00:00:00"/>
    <s v="13:39:02"/>
    <s v="PID038"/>
    <n v="421.7"/>
    <n v="5"/>
    <s v="FLAT15"/>
    <n v="15"/>
    <n v="6"/>
    <s v="Late_Delivery"/>
    <n v="58"/>
    <n v="7"/>
    <d v="2023-09-28T00:00:00"/>
    <x v="2"/>
    <x v="4"/>
    <s v="06:39:28"/>
    <n v="1850.2249999999999"/>
    <n v="316.27499999999998"/>
    <n v="1792.2249999999999"/>
    <n v="2108.5"/>
  </r>
  <r>
    <s v="CID100"/>
    <s v="Sharon Thompson "/>
    <s v="Sharon"/>
    <s v="Thompson"/>
    <n v="57"/>
    <s v="&gt;45"/>
    <x v="1"/>
    <s v="Dallas"/>
    <s v="sharon.thompson@yahoo.com"/>
    <x v="3"/>
    <s v="598 Jasmine Harbor, Turnerberg, SD 02371"/>
    <s v="OID9988"/>
    <d v="2024-07-06T00:00:00"/>
    <s v="09:27:52"/>
    <s v="PID037"/>
    <n v="77.84"/>
    <n v="4"/>
    <s v="FLAT20"/>
    <n v="20"/>
    <n v="2"/>
    <s v="Late_Delivery"/>
    <n v="59"/>
    <n v="6"/>
    <d v="2024-07-12T00:00:00"/>
    <x v="0"/>
    <x v="9"/>
    <s v="20:53:18"/>
    <n v="308.08800000000002"/>
    <n v="62.272000000000006"/>
    <n v="249.08800000000002"/>
    <n v="311.36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1669"/>
    <d v="2023-02-25T00:00:00"/>
    <s v="04:59:13"/>
    <s v="PID009"/>
    <n v="87.09"/>
    <n v="2"/>
    <s v="FLAT15"/>
    <n v="15"/>
    <n v="3"/>
    <s v="Late_Delivery"/>
    <n v="62"/>
    <n v="5"/>
    <d v="2023-03-02T00:00:00"/>
    <x v="2"/>
    <x v="0"/>
    <s v="16:22:11"/>
    <n v="210.053"/>
    <n v="26.127000000000002"/>
    <n v="148.053"/>
    <n v="174.18"/>
  </r>
  <r>
    <s v="CID122"/>
    <s v="Jared Horn "/>
    <s v="Jared"/>
    <s v="Horn"/>
    <n v="43"/>
    <s v="36-45"/>
    <x v="0"/>
    <s v="Miami"/>
    <s v="jared.horn@outlook.com"/>
    <x v="0"/>
    <s v="43325 Barbara Tunnel, Port James, LA 16246"/>
    <s v="OID7329"/>
    <d v="2024-04-15T00:00:00"/>
    <s v="01:19:42"/>
    <s v="PID024"/>
    <n v="104.18"/>
    <n v="3"/>
    <s v="FLAT10"/>
    <n v="10"/>
    <n v="6"/>
    <s v="Before_time"/>
    <n v="60"/>
    <n v="1"/>
    <d v="2024-04-16T00:00:00"/>
    <x v="0"/>
    <x v="3"/>
    <s v="01:52:14"/>
    <n v="341.286"/>
    <n v="31.254000000000001"/>
    <n v="281.286"/>
    <n v="312.54000000000002"/>
  </r>
  <r>
    <s v="CID124"/>
    <s v="Edward Black "/>
    <s v="Edward"/>
    <s v="Black"/>
    <n v="42"/>
    <s v="36-45"/>
    <x v="0"/>
    <s v="New York"/>
    <s v="edward.black@gmail.com"/>
    <x v="2"/>
    <s v="5879 Susan Via Apt. 886, Sandovalbury, WV 61449"/>
    <s v="OID2873"/>
    <d v="2024-07-01T00:00:00"/>
    <s v="05:54:36"/>
    <s v="PID002"/>
    <n v="107.47"/>
    <n v="3"/>
    <s v="DEL0"/>
    <n v="0"/>
    <n v="4"/>
    <s v="Late_Delivery"/>
    <n v="63"/>
    <n v="7"/>
    <d v="2024-07-08T00:00:00"/>
    <x v="0"/>
    <x v="9"/>
    <s v="17:18:51"/>
    <n v="385.40999999999997"/>
    <n v="0"/>
    <n v="322.40999999999997"/>
    <n v="322.40999999999997"/>
  </r>
  <r>
    <s v="CID162"/>
    <s v="Mark Summers "/>
    <s v="Mark"/>
    <s v="Summers"/>
    <n v="55"/>
    <s v="&gt;45"/>
    <x v="1"/>
    <s v="Chicago"/>
    <s v="mark.summers@outlook.com"/>
    <x v="0"/>
    <s v="08413 Lynch Parkway, Calderonstad, NV 32697"/>
    <s v="OID4932"/>
    <d v="2023-04-29T00:00:00"/>
    <s v="06:50:14"/>
    <s v="PID033"/>
    <n v="48.45"/>
    <n v="3"/>
    <s v="DEL0"/>
    <n v="0"/>
    <n v="6"/>
    <s v="Before_time"/>
    <n v="58"/>
    <n v="1"/>
    <d v="2023-04-30T00:00:00"/>
    <x v="2"/>
    <x v="3"/>
    <s v="13:55:34"/>
    <n v="203.35000000000002"/>
    <n v="0"/>
    <n v="145.35000000000002"/>
    <n v="145.35000000000002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4169"/>
    <d v="2024-11-04T00:00:00"/>
    <s v="11:52:12"/>
    <s v="PID007"/>
    <n v="257.06"/>
    <n v="4"/>
    <s v="FLAT10"/>
    <n v="10"/>
    <n v="6"/>
    <s v="Before_time"/>
    <n v="69"/>
    <n v="3"/>
    <d v="2024-11-07T00:00:00"/>
    <x v="0"/>
    <x v="11"/>
    <s v="23:25:32"/>
    <n v="994.41600000000005"/>
    <n v="102.824"/>
    <n v="925.41600000000005"/>
    <n v="1028.24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6945"/>
    <d v="2024-09-18T00:00:00"/>
    <s v="19:37:21"/>
    <s v="PID025"/>
    <n v="403.03"/>
    <n v="4"/>
    <s v="FLAT10"/>
    <n v="10"/>
    <n v="7"/>
    <s v="Before_time"/>
    <n v="65"/>
    <n v="3"/>
    <d v="2024-09-21T00:00:00"/>
    <x v="0"/>
    <x v="4"/>
    <s v="03:13:08"/>
    <n v="1515.9079999999999"/>
    <n v="161.21199999999999"/>
    <n v="1450.9079999999999"/>
    <n v="1612.12"/>
  </r>
  <r>
    <s v="CID123"/>
    <s v="Christy Chang "/>
    <s v="Christy"/>
    <s v="Chang"/>
    <n v="38"/>
    <s v="36-45"/>
    <x v="1"/>
    <s v="Dallas"/>
    <s v="christy.chang@outlook.com"/>
    <x v="0"/>
    <s v="4647 Hannah Centers, Rhodesburgh, NH 89363"/>
    <s v="OID6794"/>
    <d v="2023-05-13T00:00:00"/>
    <s v="15:34:31"/>
    <s v="PID033"/>
    <n v="48.45"/>
    <n v="1"/>
    <s v="FLAT10"/>
    <n v="10"/>
    <n v="2"/>
    <s v="Late_Delivery"/>
    <n v="41"/>
    <n v="3"/>
    <d v="2023-05-16T00:00:00"/>
    <x v="2"/>
    <x v="2"/>
    <s v="10:35:02"/>
    <n v="84.605000000000004"/>
    <n v="4.8449999999999998"/>
    <n v="43.605000000000004"/>
    <n v="48.45"/>
  </r>
  <r>
    <s v="CID183"/>
    <s v="Troy Gomez "/>
    <s v="Troy"/>
    <s v="Gomez"/>
    <n v="68"/>
    <s v="&gt;45"/>
    <x v="0"/>
    <s v="Dallas"/>
    <s v="troy.gomez@outlook.com"/>
    <x v="0"/>
    <s v="7510 Jose Knolls, Candicechester, LA 62815"/>
    <s v="OID2412"/>
    <d v="2023-03-22T00:00:00"/>
    <s v="14:35:45"/>
    <s v="PID010"/>
    <n v="44.5"/>
    <n v="5"/>
    <s v="FLAT10"/>
    <n v="10"/>
    <n v="4"/>
    <s v="Late_Delivery"/>
    <n v="55"/>
    <n v="5"/>
    <d v="2023-03-27T00:00:00"/>
    <x v="2"/>
    <x v="0"/>
    <s v="07:09:27"/>
    <n v="255.25"/>
    <n v="22.25"/>
    <n v="200.25"/>
    <n v="222.5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8162"/>
    <d v="2025-01-21T00:00:00"/>
    <s v="07:24:54"/>
    <s v="PID026"/>
    <n v="128.13999999999999"/>
    <n v="5"/>
    <s v="FLAT20"/>
    <n v="20"/>
    <n v="7"/>
    <s v="On_time"/>
    <n v="68"/>
    <n v="7"/>
    <d v="2025-01-28T00:00:00"/>
    <x v="1"/>
    <x v="5"/>
    <s v="03:15:28"/>
    <n v="580.55999999999995"/>
    <n v="128.13999999999999"/>
    <n v="512.55999999999995"/>
    <n v="640.69999999999993"/>
  </r>
  <r>
    <s v="CID194"/>
    <s v="Barbara Fuller "/>
    <s v="Barbara"/>
    <s v="Fuller"/>
    <n v="43"/>
    <s v="36-45"/>
    <x v="2"/>
    <s v="Chicago"/>
    <s v="barbara.fuller@rediffmail.com"/>
    <x v="1"/>
    <s v="134 Mcintosh Unions Suite 574, Lake Laura, DE 96577"/>
    <s v="OID8860"/>
    <d v="2023-02-21T00:00:00"/>
    <s v="06:00:55"/>
    <s v="PID001"/>
    <n v="369.03"/>
    <n v="2"/>
    <s v="FLAT10"/>
    <n v="10"/>
    <n v="6"/>
    <s v="Before_time"/>
    <n v="55"/>
    <n v="3"/>
    <d v="2023-02-24T00:00:00"/>
    <x v="2"/>
    <x v="1"/>
    <s v="22:23:18"/>
    <n v="719.25400000000002"/>
    <n v="73.805999999999997"/>
    <n v="664.25400000000002"/>
    <n v="738.06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2523"/>
    <d v="2024-05-09T00:00:00"/>
    <s v="05:46:53"/>
    <s v="PID007"/>
    <n v="257.06"/>
    <n v="1"/>
    <s v="FLAT20"/>
    <n v="20"/>
    <n v="4"/>
    <s v="Before_time"/>
    <n v="42"/>
    <n v="2"/>
    <d v="2024-05-11T00:00:00"/>
    <x v="0"/>
    <x v="2"/>
    <s v="01:30:58"/>
    <n v="247.64800000000002"/>
    <n v="51.411999999999999"/>
    <n v="205.64800000000002"/>
    <n v="257.06"/>
  </r>
  <r>
    <s v="CID168"/>
    <s v="Deborah Bates "/>
    <s v="Deborah"/>
    <s v="Bates"/>
    <n v="23"/>
    <s v="0-25"/>
    <x v="0"/>
    <s v="Los Angeles"/>
    <s v="deborah.bates@yahoo.com"/>
    <x v="3"/>
    <s v="278 Kathy Estate, Saraville, OH 77292"/>
    <s v="OID7382"/>
    <d v="2023-10-26T00:00:00"/>
    <s v="08:34:53"/>
    <s v="PID011"/>
    <n v="292.14999999999998"/>
    <n v="3"/>
    <s v="DEL0"/>
    <n v="0"/>
    <n v="3"/>
    <s v="Before_time"/>
    <n v="51"/>
    <n v="2"/>
    <d v="2023-10-28T00:00:00"/>
    <x v="2"/>
    <x v="8"/>
    <s v="13:26:32"/>
    <n v="927.44999999999993"/>
    <n v="0"/>
    <n v="876.44999999999993"/>
    <n v="876.44999999999993"/>
  </r>
  <r>
    <s v="CID154"/>
    <s v="Angela Casey "/>
    <s v="Angela"/>
    <s v="Casey"/>
    <n v="40"/>
    <s v="36-45"/>
    <x v="0"/>
    <s v="New York"/>
    <s v="angela.casey@gmail.com"/>
    <x v="2"/>
    <s v="089 Farley Terrace, Thomashaven, MT 56607"/>
    <s v="OID7593"/>
    <d v="2023-09-24T00:00:00"/>
    <s v="15:18:11"/>
    <s v="PID030"/>
    <n v="282.63"/>
    <n v="2"/>
    <s v="FLAT15"/>
    <n v="15"/>
    <n v="6"/>
    <s v="Before_time"/>
    <n v="62"/>
    <n v="1"/>
    <d v="2023-09-25T00:00:00"/>
    <x v="2"/>
    <x v="4"/>
    <s v="23:05:05"/>
    <n v="542.471"/>
    <n v="84.789000000000001"/>
    <n v="480.471"/>
    <n v="565.26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9980"/>
    <d v="2024-06-30T00:00:00"/>
    <s v="11:00:03"/>
    <s v="PID014"/>
    <n v="272.51"/>
    <n v="3"/>
    <s v="FLAT8"/>
    <n v="8"/>
    <n v="5"/>
    <s v="Late_Delivery"/>
    <n v="66"/>
    <n v="6"/>
    <d v="2024-07-06T00:00:00"/>
    <x v="0"/>
    <x v="9"/>
    <s v="15:17:48"/>
    <n v="818.12760000000003"/>
    <n v="65.4024"/>
    <n v="752.12760000000003"/>
    <n v="817.53"/>
  </r>
  <r>
    <s v="CID135"/>
    <s v="Amanda Howard "/>
    <s v="Amanda"/>
    <s v="Howard"/>
    <n v="52"/>
    <s v="&gt;45"/>
    <x v="2"/>
    <s v="Dallas"/>
    <s v="amanda.howard@outlook.com"/>
    <x v="0"/>
    <s v="56908 Sydney Park Suite 632, West Anthonyport, NC 15954"/>
    <s v="OID2440"/>
    <d v="2023-02-18T00:00:00"/>
    <s v="08:26:50"/>
    <s v="PID043"/>
    <n v="330.11"/>
    <n v="2"/>
    <s v="DEL0"/>
    <n v="0"/>
    <n v="3"/>
    <s v="Before_time"/>
    <n v="55"/>
    <n v="1"/>
    <d v="2023-02-19T00:00:00"/>
    <x v="2"/>
    <x v="1"/>
    <s v="19:28:55"/>
    <n v="715.22"/>
    <n v="0"/>
    <n v="660.22"/>
    <n v="660.22"/>
  </r>
  <r>
    <s v="CID176"/>
    <s v="Joshua Campbell "/>
    <s v="Joshua"/>
    <s v="Campbell"/>
    <n v="24"/>
    <s v="0-25"/>
    <x v="0"/>
    <s v="Chicago"/>
    <s v="joshua.campbell@gmail.com"/>
    <x v="2"/>
    <s v="70426 Lindsey Overpass Apt. 030, Jessicafurt, AR 46269"/>
    <s v="OID7256"/>
    <d v="2024-07-12T00:00:00"/>
    <s v="00:24:43"/>
    <s v="PID012"/>
    <n v="132.97"/>
    <n v="2"/>
    <s v="FLAT15"/>
    <n v="15"/>
    <n v="4"/>
    <s v="Before_time"/>
    <n v="40"/>
    <n v="2"/>
    <d v="2024-07-14T00:00:00"/>
    <x v="0"/>
    <x v="9"/>
    <s v="08:45:35"/>
    <n v="266.04899999999998"/>
    <n v="39.890999999999998"/>
    <n v="226.04899999999998"/>
    <n v="265.94"/>
  </r>
  <r>
    <s v="CID192"/>
    <s v="Brandon Cruz "/>
    <s v="Brandon"/>
    <s v="Cruz"/>
    <n v="32"/>
    <s v="26-35"/>
    <x v="2"/>
    <s v="Los Angeles"/>
    <s v="brandon.cruz@gmail.com"/>
    <x v="2"/>
    <s v="9296 Villanueva Branch, East Kevin, CO 93912"/>
    <s v="OID6854"/>
    <d v="2023-03-21T00:00:00"/>
    <s v="10:05:03"/>
    <s v="PID009"/>
    <n v="87.09"/>
    <n v="2"/>
    <s v="DEL0"/>
    <n v="0"/>
    <n v="4"/>
    <s v="On_time"/>
    <n v="67"/>
    <n v="4"/>
    <d v="2023-03-25T00:00:00"/>
    <x v="2"/>
    <x v="0"/>
    <s v="10:06:44"/>
    <n v="241.18"/>
    <n v="0"/>
    <n v="174.18"/>
    <n v="174.18"/>
  </r>
  <r>
    <s v="CID121"/>
    <s v="Julie Meyer "/>
    <s v="Julie"/>
    <s v="Meyer"/>
    <n v="23"/>
    <s v="0-25"/>
    <x v="0"/>
    <s v="Phoenix"/>
    <s v="julie.meyer@yahoo.com"/>
    <x v="3"/>
    <s v="17381 Smith Ramp Suite 398, Courtneyville, AL 17756"/>
    <s v="OID9600"/>
    <d v="2024-11-26T00:00:00"/>
    <s v="04:19:31"/>
    <s v="PID002"/>
    <n v="107.47"/>
    <n v="5"/>
    <s v="FLAT8"/>
    <n v="8"/>
    <n v="4"/>
    <s v="Late_Delivery"/>
    <n v="37"/>
    <n v="6"/>
    <d v="2024-12-02T00:00:00"/>
    <x v="0"/>
    <x v="7"/>
    <s v="17:52:11"/>
    <n v="531.36200000000008"/>
    <n v="42.988"/>
    <n v="494.36200000000002"/>
    <n v="537.35"/>
  </r>
  <r>
    <s v="CID185"/>
    <s v="Melissa Levy "/>
    <s v="Melissa"/>
    <s v="Levy"/>
    <n v="30"/>
    <s v="26-35"/>
    <x v="0"/>
    <s v="Chicago"/>
    <s v="melissa.levy@rediffmail.com"/>
    <x v="1"/>
    <s v="3303 Kennedy Springs Suite 830, East Amybury, MI 95595"/>
    <s v="OID3186"/>
    <d v="2024-05-05T00:00:00"/>
    <s v="17:14:37"/>
    <s v="PID002"/>
    <n v="107.47"/>
    <n v="5"/>
    <s v="FLAT10"/>
    <n v="10"/>
    <n v="4"/>
    <s v="Late_Delivery"/>
    <n v="47"/>
    <n v="7"/>
    <d v="2024-05-12T00:00:00"/>
    <x v="0"/>
    <x v="2"/>
    <s v="12:54:21"/>
    <n v="530.61500000000001"/>
    <n v="53.734999999999999"/>
    <n v="483.61500000000001"/>
    <n v="537.35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1420"/>
    <d v="2024-06-03T00:00:00"/>
    <s v="18:45:41"/>
    <s v="PID016"/>
    <n v="133.62"/>
    <n v="1"/>
    <s v="FLAT15"/>
    <n v="15"/>
    <n v="5"/>
    <s v="On_time"/>
    <n v="39"/>
    <n v="5"/>
    <d v="2024-06-08T00:00:00"/>
    <x v="0"/>
    <x v="6"/>
    <s v="21:20:42"/>
    <n v="152.577"/>
    <n v="20.043000000000003"/>
    <n v="113.577"/>
    <n v="133.62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4436"/>
    <d v="2023-11-17T00:00:00"/>
    <s v="23:43:28"/>
    <s v="PID034"/>
    <n v="275.44"/>
    <n v="2"/>
    <s v="FLAT20"/>
    <n v="20"/>
    <n v="3"/>
    <s v="Late_Delivery"/>
    <n v="43"/>
    <n v="4"/>
    <d v="2023-11-21T00:00:00"/>
    <x v="2"/>
    <x v="11"/>
    <s v="12:35:16"/>
    <n v="483.70400000000001"/>
    <n v="110.176"/>
    <n v="440.70400000000001"/>
    <n v="550.88"/>
  </r>
  <r>
    <s v="CID109"/>
    <s v="Rachael Robinson "/>
    <s v="Rachael"/>
    <s v="Robinson"/>
    <n v="24"/>
    <s v="0-25"/>
    <x v="2"/>
    <s v="Dallas"/>
    <s v="rachael.robinson@rediffmail.com"/>
    <x v="1"/>
    <s v="0889 Brady Points, Port Meganhaven, NM 26553"/>
    <s v="OID6410"/>
    <d v="2023-07-06T00:00:00"/>
    <s v="06:38:04"/>
    <s v="PID043"/>
    <n v="330.11"/>
    <n v="3"/>
    <s v="FLAT15"/>
    <n v="15"/>
    <n v="2"/>
    <s v="Late_Delivery"/>
    <n v="56"/>
    <n v="4"/>
    <d v="2023-07-10T00:00:00"/>
    <x v="2"/>
    <x v="9"/>
    <s v="08:13:41"/>
    <n v="897.78049999999996"/>
    <n v="148.54949999999999"/>
    <n v="841.78049999999996"/>
    <n v="990.33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4538"/>
    <d v="2024-01-16T00:00:00"/>
    <s v="12:27:25"/>
    <s v="PID014"/>
    <n v="272.51"/>
    <n v="3"/>
    <s v="FLAT8"/>
    <n v="8"/>
    <n v="6"/>
    <s v="Before_time"/>
    <n v="44"/>
    <n v="3"/>
    <d v="2024-01-19T00:00:00"/>
    <x v="0"/>
    <x v="5"/>
    <s v="23:59:41"/>
    <n v="796.12760000000003"/>
    <n v="65.4024"/>
    <n v="752.12760000000003"/>
    <n v="817.53"/>
  </r>
  <r>
    <s v="CID156"/>
    <s v="Gregory Lee "/>
    <s v="Gregory"/>
    <s v="Lee"/>
    <n v="26"/>
    <s v="26-35"/>
    <x v="2"/>
    <s v="New York"/>
    <s v="gregory.lee@rediffmail.com"/>
    <x v="1"/>
    <s v="619 Parker Turnpike Apt. 025, West Brucehaven, ID 48437"/>
    <s v="OID8225"/>
    <d v="2023-11-08T00:00:00"/>
    <s v="10:41:43"/>
    <s v="PID042"/>
    <n v="175.93"/>
    <n v="4"/>
    <s v="FLAT20"/>
    <n v="20"/>
    <n v="6"/>
    <s v="Before_time"/>
    <n v="54"/>
    <n v="2"/>
    <d v="2023-11-10T00:00:00"/>
    <x v="2"/>
    <x v="11"/>
    <s v="19:20:26"/>
    <n v="616.976"/>
    <n v="140.74400000000003"/>
    <n v="562.976"/>
    <n v="703.72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2099"/>
    <d v="2024-06-16T00:00:00"/>
    <s v="09:19:53"/>
    <s v="PID001"/>
    <n v="369.03"/>
    <n v="3"/>
    <s v="FLAT8"/>
    <n v="8"/>
    <n v="6"/>
    <s v="Before_time"/>
    <n v="57"/>
    <n v="2"/>
    <d v="2024-06-18T00:00:00"/>
    <x v="0"/>
    <x v="6"/>
    <s v="14:30:24"/>
    <n v="1075.5228"/>
    <n v="88.5672"/>
    <n v="1018.5228"/>
    <n v="1107.0899999999999"/>
  </r>
  <r>
    <s v="CID157"/>
    <s v="Sarah Benson "/>
    <s v="Sarah"/>
    <s v="Benson"/>
    <n v="40"/>
    <s v="36-45"/>
    <x v="2"/>
    <s v="Dallas"/>
    <s v="sarah.benson@outlook.com"/>
    <x v="0"/>
    <s v="5399 Hayes Well, West Pennystad, IL 93798"/>
    <s v="OID9222"/>
    <d v="2023-04-24T00:00:00"/>
    <s v="11:38:36"/>
    <s v="PID041"/>
    <n v="372.62"/>
    <n v="2"/>
    <s v="FLAT20"/>
    <n v="20"/>
    <n v="2"/>
    <s v="Before_time"/>
    <n v="47"/>
    <n v="1"/>
    <d v="2023-04-25T00:00:00"/>
    <x v="2"/>
    <x v="3"/>
    <s v="21:12:03"/>
    <n v="643.19200000000001"/>
    <n v="149.048"/>
    <n v="596.19200000000001"/>
    <n v="745.24"/>
  </r>
  <r>
    <s v="CID133"/>
    <s v="Donna Oneill "/>
    <s v="Donna"/>
    <s v="Oneill"/>
    <n v="70"/>
    <s v="&gt;45"/>
    <x v="0"/>
    <s v="San Francisco"/>
    <s v="donna.oneill@yahoo.com"/>
    <x v="3"/>
    <s v="464 Carolyn Crest Suite 738, Lake Isaiah, CA 66153"/>
    <s v="OID3523"/>
    <d v="2023-12-10T00:00:00"/>
    <s v="10:33:52"/>
    <s v="PID010"/>
    <n v="44.5"/>
    <n v="1"/>
    <s v="DEL0"/>
    <n v="0"/>
    <n v="1"/>
    <s v="Late_Delivery"/>
    <n v="37"/>
    <n v="7"/>
    <d v="2023-12-17T00:00:00"/>
    <x v="2"/>
    <x v="7"/>
    <s v="11:21:30"/>
    <n v="81.5"/>
    <n v="0"/>
    <n v="44.5"/>
    <n v="44.5"/>
  </r>
  <r>
    <s v="CID134"/>
    <s v="Debra Hayes "/>
    <s v="Debra"/>
    <s v="Hayes"/>
    <n v="33"/>
    <s v="26-35"/>
    <x v="0"/>
    <s v="San Francisco"/>
    <s v="debra.hayes@yahoo.com"/>
    <x v="3"/>
    <s v="4601 Miller Lock, Williamsbury, IA 10943"/>
    <s v="OID3834"/>
    <d v="2023-05-14T00:00:00"/>
    <s v="22:42:39"/>
    <s v="PID036"/>
    <n v="157.63999999999999"/>
    <n v="1"/>
    <s v="FLAT10"/>
    <n v="10"/>
    <n v="7"/>
    <s v="On_time"/>
    <n v="48"/>
    <n v="7"/>
    <d v="2023-05-21T00:00:00"/>
    <x v="2"/>
    <x v="2"/>
    <s v="23:12:16"/>
    <n v="189.876"/>
    <n v="15.763999999999999"/>
    <n v="141.876"/>
    <n v="157.63999999999999"/>
  </r>
  <r>
    <s v="CID128"/>
    <s v="Traci Jones "/>
    <s v="Traci"/>
    <s v="Jones"/>
    <n v="34"/>
    <s v="26-35"/>
    <x v="0"/>
    <s v="Los Angeles"/>
    <s v="traci.jones@yahoo.com"/>
    <x v="3"/>
    <s v="4016 Ryan Passage, Collinsside, PA 88777"/>
    <s v="OID9975"/>
    <d v="2023-11-13T00:00:00"/>
    <s v="09:31:29"/>
    <s v="PID003"/>
    <n v="20.7"/>
    <n v="3"/>
    <s v="FLAT8"/>
    <n v="8"/>
    <n v="5"/>
    <s v="Before_time"/>
    <n v="46"/>
    <n v="2"/>
    <d v="2023-11-15T00:00:00"/>
    <x v="2"/>
    <x v="11"/>
    <s v="07:20:39"/>
    <n v="103.13200000000001"/>
    <n v="4.968"/>
    <n v="57.131999999999998"/>
    <n v="62.099999999999994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6893"/>
    <d v="2023-12-04T00:00:00"/>
    <s v="09:19:46"/>
    <s v="PID026"/>
    <n v="128.13999999999999"/>
    <n v="3"/>
    <s v="FLAT20"/>
    <n v="20"/>
    <n v="2"/>
    <s v="Late_Delivery"/>
    <n v="49"/>
    <n v="6"/>
    <d v="2023-12-10T00:00:00"/>
    <x v="2"/>
    <x v="7"/>
    <s v="02:07:12"/>
    <n v="356.536"/>
    <n v="76.884"/>
    <n v="307.536"/>
    <n v="384.41999999999996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8192"/>
    <d v="2024-04-22T00:00:00"/>
    <s v="21:14:38"/>
    <s v="PID036"/>
    <n v="157.63999999999999"/>
    <n v="3"/>
    <s v="FLAT8"/>
    <n v="8"/>
    <n v="4"/>
    <s v="Before_time"/>
    <n v="66"/>
    <n v="1"/>
    <d v="2024-04-23T00:00:00"/>
    <x v="0"/>
    <x v="3"/>
    <s v="11:28:09"/>
    <n v="501.08639999999997"/>
    <n v="37.833599999999997"/>
    <n v="435.08639999999997"/>
    <n v="472.91999999999996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7904"/>
    <d v="2024-06-26T00:00:00"/>
    <s v="15:58:53"/>
    <s v="PID041"/>
    <n v="372.62"/>
    <n v="1"/>
    <s v="FLAT10"/>
    <n v="10"/>
    <n v="1"/>
    <s v="Late_Delivery"/>
    <n v="66"/>
    <n v="2"/>
    <d v="2024-06-28T00:00:00"/>
    <x v="0"/>
    <x v="6"/>
    <s v="14:14:53"/>
    <n v="401.358"/>
    <n v="37.262"/>
    <n v="335.358"/>
    <n v="372.62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5999"/>
    <d v="2023-07-09T00:00:00"/>
    <s v="17:44:01"/>
    <s v="PID046"/>
    <n v="363.64"/>
    <n v="4"/>
    <s v="DEL0"/>
    <n v="0"/>
    <n v="6"/>
    <s v="Before_time"/>
    <n v="56"/>
    <n v="5"/>
    <d v="2023-07-14T00:00:00"/>
    <x v="2"/>
    <x v="9"/>
    <s v="16:03:33"/>
    <n v="1510.56"/>
    <n v="0"/>
    <n v="1454.56"/>
    <n v="1454.56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7409"/>
    <d v="2024-04-15T00:00:00"/>
    <s v="02:54:23"/>
    <s v="PID019"/>
    <n v="286.07"/>
    <n v="5"/>
    <s v="DEL0"/>
    <n v="0"/>
    <n v="1"/>
    <s v="Late_Delivery"/>
    <n v="41"/>
    <n v="7"/>
    <d v="2024-04-22T00:00:00"/>
    <x v="0"/>
    <x v="3"/>
    <s v="18:15:03"/>
    <n v="1471.35"/>
    <n v="0"/>
    <n v="1430.35"/>
    <n v="1430.35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8708"/>
    <d v="2024-01-11T00:00:00"/>
    <s v="07:05:11"/>
    <s v="PID030"/>
    <n v="282.63"/>
    <n v="3"/>
    <s v="DEL0"/>
    <n v="0"/>
    <n v="4"/>
    <s v="Late_Delivery"/>
    <n v="66"/>
    <n v="5"/>
    <d v="2024-01-16T00:00:00"/>
    <x v="0"/>
    <x v="5"/>
    <s v="14:16:13"/>
    <n v="913.89"/>
    <n v="0"/>
    <n v="847.89"/>
    <n v="847.89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5745"/>
    <d v="2024-03-10T00:00:00"/>
    <s v="02:16:10"/>
    <s v="PID041"/>
    <n v="372.62"/>
    <n v="5"/>
    <s v="FLAT8"/>
    <n v="8"/>
    <n v="4"/>
    <s v="Before_time"/>
    <n v="66"/>
    <n v="3"/>
    <d v="2024-03-13T00:00:00"/>
    <x v="0"/>
    <x v="0"/>
    <s v="06:31:20"/>
    <n v="1780.0519999999999"/>
    <n v="149.048"/>
    <n v="1714.0519999999999"/>
    <n v="1863.1"/>
  </r>
  <r>
    <s v="CID137"/>
    <s v="Gina Moreno "/>
    <s v="Gina"/>
    <s v="Moreno"/>
    <n v="36"/>
    <s v="36-45"/>
    <x v="2"/>
    <s v="Miami"/>
    <s v="gina.moreno@rediffmail.com"/>
    <x v="1"/>
    <s v="USS Murray, FPO AP 66559"/>
    <s v="OID9178"/>
    <d v="2023-06-14T00:00:00"/>
    <s v="18:34:02"/>
    <s v="PID032"/>
    <n v="424.82"/>
    <n v="4"/>
    <s v="FLAT10"/>
    <n v="10"/>
    <n v="5"/>
    <s v="Late_Delivery"/>
    <n v="58"/>
    <n v="7"/>
    <d v="2023-06-21T00:00:00"/>
    <x v="2"/>
    <x v="6"/>
    <s v="13:27:30"/>
    <n v="1587.3520000000001"/>
    <n v="169.928"/>
    <n v="1529.3520000000001"/>
    <n v="1699.28"/>
  </r>
  <r>
    <s v="CID181"/>
    <s v="Alexandra Smith "/>
    <s v="Alexandra"/>
    <s v="Smith"/>
    <n v="70"/>
    <s v="&gt;45"/>
    <x v="0"/>
    <s v="Phoenix"/>
    <s v="alexandra.smith@rediffmail.com"/>
    <x v="1"/>
    <s v="48611 Clark Village, West Anne, GA 92865"/>
    <s v="OID2529"/>
    <d v="2023-09-03T00:00:00"/>
    <s v="14:35:39"/>
    <s v="PID038"/>
    <n v="421.7"/>
    <n v="3"/>
    <s v="DEL0"/>
    <n v="0"/>
    <n v="3"/>
    <s v="Late_Delivery"/>
    <n v="56"/>
    <n v="5"/>
    <d v="2023-09-08T00:00:00"/>
    <x v="2"/>
    <x v="4"/>
    <s v="17:37:51"/>
    <n v="1321.1"/>
    <n v="0"/>
    <n v="1265.0999999999999"/>
    <n v="1265.0999999999999"/>
  </r>
  <r>
    <s v="CID170"/>
    <s v="Bruce Allen "/>
    <s v="Bruce"/>
    <s v="Allen"/>
    <n v="32"/>
    <s v="26-35"/>
    <x v="1"/>
    <s v="Phoenix"/>
    <s v="bruce.allen@rediffmail.com"/>
    <x v="1"/>
    <s v="2417 Brown Ford, West Timothyside, RI 45629"/>
    <s v="OID3125"/>
    <d v="2024-02-21T00:00:00"/>
    <s v="02:52:20"/>
    <s v="PID011"/>
    <n v="292.14999999999998"/>
    <n v="2"/>
    <s v="FLAT15"/>
    <n v="15"/>
    <n v="6"/>
    <s v="Before_time"/>
    <n v="60"/>
    <n v="5"/>
    <d v="2024-02-26T00:00:00"/>
    <x v="0"/>
    <x v="1"/>
    <s v="04:02:49"/>
    <n v="556.65499999999997"/>
    <n v="87.644999999999996"/>
    <n v="496.65499999999997"/>
    <n v="584.29999999999995"/>
  </r>
  <r>
    <s v="CID163"/>
    <s v="Mark Henderson "/>
    <s v="Mark"/>
    <s v="Henderson"/>
    <n v="33"/>
    <s v="26-35"/>
    <x v="2"/>
    <s v="Dallas"/>
    <s v="mark.henderson@yahoo.com"/>
    <x v="3"/>
    <s v="90155 Hines Spring, North Theresafurt, ME 31920"/>
    <s v="OID4011"/>
    <d v="2024-12-31T00:00:00"/>
    <s v="10:33:07"/>
    <s v="PID041"/>
    <n v="372.62"/>
    <n v="1"/>
    <s v="FLAT15"/>
    <n v="15"/>
    <n v="5"/>
    <s v="Before_time"/>
    <n v="50"/>
    <n v="4"/>
    <d v="2025-01-04T00:00:00"/>
    <x v="1"/>
    <x v="5"/>
    <s v="06:32:27"/>
    <n v="366.72699999999998"/>
    <n v="55.893000000000001"/>
    <n v="316.72699999999998"/>
    <n v="372.62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1592"/>
    <d v="2024-02-18T00:00:00"/>
    <s v="01:25:50"/>
    <s v="PID033"/>
    <n v="48.45"/>
    <n v="3"/>
    <s v="FLAT15"/>
    <n v="15"/>
    <n v="5"/>
    <s v="Late_Delivery"/>
    <n v="42"/>
    <n v="7"/>
    <d v="2024-02-25T00:00:00"/>
    <x v="0"/>
    <x v="1"/>
    <s v="18:04:09"/>
    <n v="165.54750000000001"/>
    <n v="21.802500000000006"/>
    <n v="123.54750000000001"/>
    <n v="145.35000000000002"/>
  </r>
  <r>
    <s v="CID123"/>
    <s v="Christy Chang "/>
    <s v="Christy"/>
    <s v="Chang"/>
    <n v="38"/>
    <s v="36-45"/>
    <x v="1"/>
    <s v="Dallas"/>
    <s v="christy.chang@outlook.com"/>
    <x v="0"/>
    <s v="4647 Hannah Centers, Rhodesburgh, NH 89363"/>
    <s v="OID7667"/>
    <d v="2024-01-21T00:00:00"/>
    <s v="20:10:30"/>
    <s v="PID047"/>
    <n v="190.1"/>
    <n v="3"/>
    <s v="FLAT10"/>
    <n v="10"/>
    <n v="3"/>
    <s v="On_time"/>
    <n v="41"/>
    <n v="3"/>
    <d v="2024-01-24T00:00:00"/>
    <x v="0"/>
    <x v="5"/>
    <s v="15:08:52"/>
    <n v="554.27"/>
    <n v="57.03"/>
    <n v="513.27"/>
    <n v="570.29999999999995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5182"/>
    <d v="2024-02-22T00:00:00"/>
    <s v="03:46:35"/>
    <s v="PID008"/>
    <n v="461.07"/>
    <n v="4"/>
    <s v="FLAT15"/>
    <n v="15"/>
    <n v="1"/>
    <s v="Late_Delivery"/>
    <n v="66"/>
    <n v="2"/>
    <d v="2024-02-24T00:00:00"/>
    <x v="0"/>
    <x v="1"/>
    <s v="11:20:17"/>
    <n v="1633.6379999999999"/>
    <n v="276.642"/>
    <n v="1567.6379999999999"/>
    <n v="1844.28"/>
  </r>
  <r>
    <s v="CID155"/>
    <s v="Courtney Parker "/>
    <s v="Courtney"/>
    <s v="Parker"/>
    <n v="29"/>
    <s v="26-35"/>
    <x v="2"/>
    <s v="Los Angeles"/>
    <s v="courtney.parker@yahoo.com"/>
    <x v="3"/>
    <s v="087 Jacqueline Rue Apt. 694, East Tasha, SC 04859"/>
    <s v="OID1833"/>
    <d v="2024-01-04T00:00:00"/>
    <s v="00:31:47"/>
    <s v="PID036"/>
    <n v="157.63999999999999"/>
    <n v="5"/>
    <s v="FLAT8"/>
    <n v="8"/>
    <n v="2"/>
    <s v="Late_Delivery"/>
    <n v="46"/>
    <n v="6"/>
    <d v="2024-01-10T00:00:00"/>
    <x v="0"/>
    <x v="5"/>
    <s v="11:06:01"/>
    <n v="771.14400000000001"/>
    <n v="63.055999999999997"/>
    <n v="725.14400000000001"/>
    <n v="788.19999999999993"/>
  </r>
  <r>
    <s v="CID168"/>
    <s v="Deborah Bates "/>
    <s v="Deborah"/>
    <s v="Bates"/>
    <n v="23"/>
    <s v="0-25"/>
    <x v="0"/>
    <s v="Los Angeles"/>
    <s v="deborah.bates@yahoo.com"/>
    <x v="3"/>
    <s v="278 Kathy Estate, Saraville, OH 77292"/>
    <s v="OID5190"/>
    <d v="2024-07-04T00:00:00"/>
    <s v="04:04:19"/>
    <s v="PID005"/>
    <n v="445.81"/>
    <n v="3"/>
    <s v="FLAT8"/>
    <n v="8"/>
    <n v="1"/>
    <s v="On_time"/>
    <n v="37"/>
    <n v="1"/>
    <d v="2024-07-05T00:00:00"/>
    <x v="0"/>
    <x v="9"/>
    <s v="00:48:55"/>
    <n v="1267.4356"/>
    <n v="106.9944"/>
    <n v="1230.4356"/>
    <n v="1337.43"/>
  </r>
  <r>
    <s v="CID110"/>
    <s v="Katie Hicks "/>
    <s v="Katie"/>
    <s v="Hicks"/>
    <n v="34"/>
    <s v="26-35"/>
    <x v="2"/>
    <s v="Chicago"/>
    <s v="katie.hicks@rediffmail.com"/>
    <x v="1"/>
    <s v="848 William Port, New Marilyn, SD 58000"/>
    <s v="OID4399"/>
    <d v="2024-12-20T00:00:00"/>
    <s v="07:13:46"/>
    <s v="PID027"/>
    <n v="481.48"/>
    <n v="4"/>
    <s v="FLAT15"/>
    <n v="15"/>
    <n v="4"/>
    <s v="Before_time"/>
    <n v="38"/>
    <n v="1"/>
    <d v="2024-12-21T00:00:00"/>
    <x v="0"/>
    <x v="7"/>
    <s v="09:05:57"/>
    <n v="1675.0319999999999"/>
    <n v="288.88800000000003"/>
    <n v="1637.0319999999999"/>
    <n v="1925.92"/>
  </r>
  <r>
    <s v="CID187"/>
    <s v="Jason Lopez "/>
    <s v="Jason"/>
    <s v="Lopez"/>
    <n v="40"/>
    <s v="36-45"/>
    <x v="2"/>
    <s v="San Francisco"/>
    <s v="jason.lopez@outlook.com"/>
    <x v="0"/>
    <s v="934 Levine View, Brentport, NE 38210"/>
    <s v="OID8104"/>
    <d v="2023-04-17T00:00:00"/>
    <s v="21:07:18"/>
    <s v="PID016"/>
    <n v="133.62"/>
    <n v="1"/>
    <s v="FLAT15"/>
    <n v="15"/>
    <n v="5"/>
    <s v="Before_time"/>
    <n v="66"/>
    <n v="4"/>
    <d v="2023-04-21T00:00:00"/>
    <x v="2"/>
    <x v="3"/>
    <s v="00:38:35"/>
    <n v="179.577"/>
    <n v="20.043000000000003"/>
    <n v="113.577"/>
    <n v="133.62"/>
  </r>
  <r>
    <s v="CID196"/>
    <s v="Regina Hawkins "/>
    <s v="Regina"/>
    <s v="Hawkins"/>
    <n v="47"/>
    <s v="&gt;45"/>
    <x v="1"/>
    <s v="Phoenix"/>
    <s v="regina.hawkins@rediffmail.com"/>
    <x v="1"/>
    <s v="096 Santos Neck Apt. 937, Benjaminmouth, FL 61454"/>
    <s v="OID1054"/>
    <d v="2024-02-05T00:00:00"/>
    <s v="13:31:33"/>
    <s v="PID017"/>
    <n v="425.59"/>
    <n v="3"/>
    <s v="FLAT10"/>
    <n v="10"/>
    <n v="7"/>
    <s v="Before_time"/>
    <n v="51"/>
    <n v="3"/>
    <d v="2024-02-08T00:00:00"/>
    <x v="0"/>
    <x v="1"/>
    <s v="02:03:42"/>
    <n v="1200.0930000000001"/>
    <n v="127.67700000000001"/>
    <n v="1149.0930000000001"/>
    <n v="1276.77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7828"/>
    <d v="2024-08-13T00:00:00"/>
    <s v="00:57:10"/>
    <s v="PID006"/>
    <n v="477.52"/>
    <n v="5"/>
    <s v="FLAT20"/>
    <n v="20"/>
    <n v="2"/>
    <s v="Late_Delivery"/>
    <n v="60"/>
    <n v="3"/>
    <d v="2024-08-16T00:00:00"/>
    <x v="0"/>
    <x v="10"/>
    <s v="03:55:32"/>
    <n v="1970.08"/>
    <n v="477.52"/>
    <n v="1910.08"/>
    <n v="2387.6"/>
  </r>
  <r>
    <s v="CID135"/>
    <s v="Amanda Howard "/>
    <s v="Amanda"/>
    <s v="Howard"/>
    <n v="52"/>
    <s v="&gt;45"/>
    <x v="2"/>
    <s v="Dallas"/>
    <s v="amanda.howard@outlook.com"/>
    <x v="0"/>
    <s v="56908 Sydney Park Suite 632, West Anthonyport, NC 15954"/>
    <s v="OID5598"/>
    <d v="2024-06-28T00:00:00"/>
    <s v="00:07:15"/>
    <s v="PID030"/>
    <n v="282.63"/>
    <n v="3"/>
    <s v="FLAT8"/>
    <n v="8"/>
    <n v="3"/>
    <s v="Late_Delivery"/>
    <n v="36"/>
    <n v="7"/>
    <d v="2024-07-05T00:00:00"/>
    <x v="0"/>
    <x v="9"/>
    <s v="06:30:27"/>
    <n v="816.05880000000002"/>
    <n v="67.831199999999995"/>
    <n v="780.05880000000002"/>
    <n v="847.89"/>
  </r>
  <r>
    <s v="CID165"/>
    <s v="Mary Knight "/>
    <s v="Mary"/>
    <s v="Knight"/>
    <n v="28"/>
    <s v="26-35"/>
    <x v="2"/>
    <s v="New York"/>
    <s v="mary.knight@yahoo.com"/>
    <x v="3"/>
    <s v="907 Kimberly Hill, Murrayfort, NH 88384"/>
    <s v="OID7417"/>
    <d v="2024-02-28T00:00:00"/>
    <s v="08:47:14"/>
    <s v="PID036"/>
    <n v="157.63999999999999"/>
    <n v="1"/>
    <s v="FLAT20"/>
    <n v="20"/>
    <n v="1"/>
    <s v="Late_Delivery"/>
    <n v="59"/>
    <n v="6"/>
    <d v="2024-03-05T00:00:00"/>
    <x v="0"/>
    <x v="0"/>
    <s v="19:25:43"/>
    <n v="185.11199999999999"/>
    <n v="31.527999999999999"/>
    <n v="126.11199999999999"/>
    <n v="157.63999999999999"/>
  </r>
  <r>
    <s v="CID110"/>
    <s v="Katie Hicks "/>
    <s v="Katie"/>
    <s v="Hicks"/>
    <n v="34"/>
    <s v="26-35"/>
    <x v="2"/>
    <s v="Chicago"/>
    <s v="katie.hicks@rediffmail.com"/>
    <x v="1"/>
    <s v="848 William Port, New Marilyn, SD 58000"/>
    <s v="OID8004"/>
    <d v="2024-06-06T00:00:00"/>
    <s v="12:05:04"/>
    <s v="PID033"/>
    <n v="48.45"/>
    <n v="1"/>
    <s v="FLAT10"/>
    <n v="10"/>
    <n v="5"/>
    <s v="Late_Delivery"/>
    <n v="38"/>
    <n v="7"/>
    <d v="2024-06-13T00:00:00"/>
    <x v="0"/>
    <x v="6"/>
    <s v="18:05:47"/>
    <n v="81.605000000000004"/>
    <n v="4.8449999999999998"/>
    <n v="43.605000000000004"/>
    <n v="48.45"/>
  </r>
  <r>
    <s v="CID198"/>
    <s v="David Delacruz "/>
    <s v="David"/>
    <s v="Delacruz"/>
    <n v="26"/>
    <s v="26-35"/>
    <x v="1"/>
    <s v="Los Angeles"/>
    <s v="david.delacruz@rediffmail.com"/>
    <x v="1"/>
    <s v="USNS Ray, FPO AE 20238"/>
    <s v="OID7287"/>
    <d v="2024-03-08T00:00:00"/>
    <s v="05:45:27"/>
    <s v="PID011"/>
    <n v="292.14999999999998"/>
    <n v="1"/>
    <s v="FLAT20"/>
    <n v="20"/>
    <n v="5"/>
    <s v="Late_Delivery"/>
    <n v="57"/>
    <n v="6"/>
    <d v="2024-03-14T00:00:00"/>
    <x v="0"/>
    <x v="0"/>
    <s v="16:20:46"/>
    <n v="290.72000000000003"/>
    <n v="58.43"/>
    <n v="233.72"/>
    <n v="292.14999999999998"/>
  </r>
  <r>
    <s v="CID177"/>
    <s v="Rachel Lopez "/>
    <s v="Rachel"/>
    <s v="Lopez"/>
    <n v="57"/>
    <s v="&gt;45"/>
    <x v="1"/>
    <s v="Los Angeles"/>
    <s v="rachel.lopez@outlook.com"/>
    <x v="0"/>
    <s v="90435 Bonnie Points Suite 886, Jenniferfurt, WV 20187"/>
    <s v="OID3637"/>
    <d v="2024-02-11T00:00:00"/>
    <s v="18:27:35"/>
    <s v="PID044"/>
    <n v="20"/>
    <n v="4"/>
    <s v="FLAT20"/>
    <n v="20"/>
    <n v="1"/>
    <s v="On_time"/>
    <n v="51"/>
    <n v="1"/>
    <d v="2024-02-12T00:00:00"/>
    <x v="0"/>
    <x v="1"/>
    <s v="15:09:01"/>
    <n v="115"/>
    <n v="16"/>
    <n v="64"/>
    <n v="80"/>
  </r>
  <r>
    <s v="CID119"/>
    <s v="Amy Griffin "/>
    <s v="Amy"/>
    <s v="Griffin"/>
    <n v="29"/>
    <s v="26-35"/>
    <x v="0"/>
    <s v="Houston"/>
    <s v="amy.griffin@rediffmail.com"/>
    <x v="1"/>
    <s v="07350 Aaron Meadow Suite 138, Kiaraberg, AL 79545"/>
    <s v="OID2097"/>
    <d v="2025-01-24T00:00:00"/>
    <s v="08:19:07"/>
    <s v="PID033"/>
    <n v="48.45"/>
    <n v="2"/>
    <s v="FLAT15"/>
    <n v="15"/>
    <n v="7"/>
    <s v="Before_time"/>
    <n v="56"/>
    <n v="6"/>
    <d v="2025-01-30T00:00:00"/>
    <x v="1"/>
    <x v="5"/>
    <s v="03:55:26"/>
    <n v="138.36500000000001"/>
    <n v="14.535"/>
    <n v="82.365000000000009"/>
    <n v="96.9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3388"/>
    <d v="2023-09-21T00:00:00"/>
    <s v="01:16:23"/>
    <s v="PID028"/>
    <n v="126.19"/>
    <n v="2"/>
    <s v="FLAT20"/>
    <n v="20"/>
    <n v="4"/>
    <s v="Late_Delivery"/>
    <n v="67"/>
    <n v="6"/>
    <d v="2023-09-27T00:00:00"/>
    <x v="2"/>
    <x v="4"/>
    <s v="21:24:42"/>
    <n v="268.904"/>
    <n v="50.476000000000006"/>
    <n v="201.904"/>
    <n v="252.38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1114"/>
    <d v="2024-04-11T00:00:00"/>
    <s v="07:59:11"/>
    <s v="PID028"/>
    <n v="126.19"/>
    <n v="4"/>
    <s v="FLAT8"/>
    <n v="8"/>
    <n v="5"/>
    <s v="Before_time"/>
    <n v="69"/>
    <n v="3"/>
    <d v="2024-04-14T00:00:00"/>
    <x v="0"/>
    <x v="3"/>
    <s v="05:33:08"/>
    <n v="533.37920000000008"/>
    <n v="40.380800000000001"/>
    <n v="464.37920000000003"/>
    <n v="504.76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3556"/>
    <d v="2024-04-17T00:00:00"/>
    <s v="02:05:06"/>
    <s v="PID004"/>
    <n v="496.59"/>
    <n v="3"/>
    <s v="DEL0"/>
    <n v="0"/>
    <n v="3"/>
    <s v="Late_Delivery"/>
    <n v="49"/>
    <n v="7"/>
    <d v="2024-04-24T00:00:00"/>
    <x v="0"/>
    <x v="3"/>
    <s v="02:03:44"/>
    <n v="1538.77"/>
    <n v="0"/>
    <n v="1489.77"/>
    <n v="1489.77"/>
  </r>
  <r>
    <s v="CID133"/>
    <s v="Donna Oneill "/>
    <s v="Donna"/>
    <s v="Oneill"/>
    <n v="70"/>
    <s v="&gt;45"/>
    <x v="0"/>
    <s v="San Francisco"/>
    <s v="donna.oneill@yahoo.com"/>
    <x v="3"/>
    <s v="464 Carolyn Crest Suite 738, Lake Isaiah, CA 66153"/>
    <s v="OID9404"/>
    <d v="2024-04-14T00:00:00"/>
    <s v="08:18:15"/>
    <s v="PID032"/>
    <n v="424.82"/>
    <n v="4"/>
    <s v="FLAT15"/>
    <n v="15"/>
    <n v="1"/>
    <s v="Late_Delivery"/>
    <n v="70"/>
    <n v="6"/>
    <d v="2024-04-20T00:00:00"/>
    <x v="0"/>
    <x v="3"/>
    <s v="08:36:13"/>
    <n v="1514.3879999999999"/>
    <n v="254.892"/>
    <n v="1444.3879999999999"/>
    <n v="1699.28"/>
  </r>
  <r>
    <s v="CID137"/>
    <s v="Gina Moreno "/>
    <s v="Gina"/>
    <s v="Moreno"/>
    <n v="36"/>
    <s v="36-45"/>
    <x v="2"/>
    <s v="Miami"/>
    <s v="gina.moreno@rediffmail.com"/>
    <x v="1"/>
    <s v="USS Murray, FPO AP 66559"/>
    <s v="OID4552"/>
    <d v="2023-09-25T00:00:00"/>
    <s v="12:10:36"/>
    <s v="PID044"/>
    <n v="20"/>
    <n v="2"/>
    <s v="FLAT10"/>
    <n v="10"/>
    <n v="1"/>
    <s v="On_time"/>
    <n v="68"/>
    <n v="1"/>
    <d v="2023-09-26T00:00:00"/>
    <x v="2"/>
    <x v="4"/>
    <s v="23:31:23"/>
    <n v="104"/>
    <n v="4"/>
    <n v="36"/>
    <n v="40"/>
  </r>
  <r>
    <s v="CID196"/>
    <s v="Regina Hawkins "/>
    <s v="Regina"/>
    <s v="Hawkins"/>
    <n v="47"/>
    <s v="&gt;45"/>
    <x v="1"/>
    <s v="Phoenix"/>
    <s v="regina.hawkins@rediffmail.com"/>
    <x v="1"/>
    <s v="096 Santos Neck Apt. 937, Benjaminmouth, FL 61454"/>
    <s v="OID8486"/>
    <d v="2023-10-17T00:00:00"/>
    <s v="00:38:36"/>
    <s v="PID023"/>
    <n v="202.54"/>
    <n v="5"/>
    <s v="FLAT10"/>
    <n v="10"/>
    <n v="4"/>
    <s v="Before_time"/>
    <n v="58"/>
    <n v="2"/>
    <d v="2023-10-19T00:00:00"/>
    <x v="2"/>
    <x v="8"/>
    <s v="20:13:27"/>
    <n v="969.43"/>
    <n v="101.27"/>
    <n v="911.43"/>
    <n v="1012.6999999999999"/>
  </r>
  <r>
    <s v="CID137"/>
    <s v="Gina Moreno "/>
    <s v="Gina"/>
    <s v="Moreno"/>
    <n v="36"/>
    <s v="36-45"/>
    <x v="2"/>
    <s v="Miami"/>
    <s v="gina.moreno@rediffmail.com"/>
    <x v="1"/>
    <s v="USS Murray, FPO AP 66559"/>
    <s v="OID4240"/>
    <d v="2024-03-17T00:00:00"/>
    <s v="02:46:16"/>
    <s v="PID048"/>
    <n v="136.30000000000001"/>
    <n v="4"/>
    <s v="FLAT8"/>
    <n v="8"/>
    <n v="6"/>
    <s v="Before_time"/>
    <n v="52"/>
    <n v="3"/>
    <d v="2024-03-20T00:00:00"/>
    <x v="0"/>
    <x v="0"/>
    <s v="09:28:52"/>
    <n v="553.58400000000006"/>
    <n v="43.616000000000007"/>
    <n v="501.58400000000006"/>
    <n v="545.20000000000005"/>
  </r>
  <r>
    <s v="CID130"/>
    <s v="Debra Rodriguez "/>
    <s v="Debra"/>
    <s v="Rodriguez"/>
    <n v="48"/>
    <s v="&gt;45"/>
    <x v="2"/>
    <s v="Houston"/>
    <s v="debra.rodriguez@rediffmail.com"/>
    <x v="1"/>
    <s v="Unit 5964 Box 0721, DPO AP 01840"/>
    <s v="OID3727"/>
    <d v="2025-01-04T00:00:00"/>
    <s v="21:06:59"/>
    <s v="PID036"/>
    <n v="157.63999999999999"/>
    <n v="4"/>
    <s v="DEL0"/>
    <n v="0"/>
    <n v="7"/>
    <s v="Before_time"/>
    <n v="42"/>
    <n v="2"/>
    <d v="2025-01-06T00:00:00"/>
    <x v="1"/>
    <x v="5"/>
    <s v="07:58:32"/>
    <n v="672.56"/>
    <n v="0"/>
    <n v="630.55999999999995"/>
    <n v="630.55999999999995"/>
  </r>
  <r>
    <s v="CID195"/>
    <s v="Sarah Butler "/>
    <s v="Sarah"/>
    <s v="Butler"/>
    <n v="64"/>
    <s v="&gt;45"/>
    <x v="0"/>
    <s v="Phoenix"/>
    <s v="sarah.butler@rediffmail.com"/>
    <x v="1"/>
    <s v="14131 Edwin Shore Apt. 190, Deniseberg, MD 90905"/>
    <s v="OID8955"/>
    <d v="2023-08-09T00:00:00"/>
    <s v="05:37:55"/>
    <s v="PID002"/>
    <n v="107.47"/>
    <n v="5"/>
    <s v="FLAT20"/>
    <n v="20"/>
    <n v="6"/>
    <s v="Before_time"/>
    <n v="47"/>
    <n v="2"/>
    <d v="2023-08-11T00:00:00"/>
    <x v="2"/>
    <x v="10"/>
    <s v="12:11:43"/>
    <n v="476.88000000000005"/>
    <n v="107.47"/>
    <n v="429.88000000000005"/>
    <n v="537.35"/>
  </r>
  <r>
    <s v="CID132"/>
    <s v="Timothy Hicks "/>
    <s v="Timothy"/>
    <s v="Hicks"/>
    <n v="31"/>
    <s v="26-35"/>
    <x v="2"/>
    <s v="Miami"/>
    <s v="timothy.hicks@gmail.com"/>
    <x v="2"/>
    <s v="140 Tracy Fields, Lake Cynthiaton, TX 57190"/>
    <s v="OID1744"/>
    <d v="2024-12-27T00:00:00"/>
    <s v="01:03:02"/>
    <s v="PID026"/>
    <n v="128.13999999999999"/>
    <n v="1"/>
    <s v="DEL0"/>
    <n v="0"/>
    <n v="3"/>
    <s v="Before_time"/>
    <n v="55"/>
    <n v="2"/>
    <d v="2024-12-29T00:00:00"/>
    <x v="0"/>
    <x v="7"/>
    <s v="08:40:48"/>
    <n v="183.14"/>
    <n v="0"/>
    <n v="128.13999999999999"/>
    <n v="128.13999999999999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5831"/>
    <d v="2024-02-29T00:00:00"/>
    <s v="18:12:36"/>
    <s v="PID017"/>
    <n v="425.59"/>
    <n v="2"/>
    <s v="FLAT10"/>
    <n v="10"/>
    <n v="4"/>
    <s v="Late_Delivery"/>
    <n v="64"/>
    <n v="7"/>
    <d v="2024-03-07T00:00:00"/>
    <x v="0"/>
    <x v="0"/>
    <s v="04:54:21"/>
    <n v="830.06200000000001"/>
    <n v="85.117999999999995"/>
    <n v="766.06200000000001"/>
    <n v="851.18"/>
  </r>
  <r>
    <s v="CID181"/>
    <s v="Alexandra Smith "/>
    <s v="Alexandra"/>
    <s v="Smith"/>
    <n v="70"/>
    <s v="&gt;45"/>
    <x v="0"/>
    <s v="Phoenix"/>
    <s v="alexandra.smith@rediffmail.com"/>
    <x v="1"/>
    <s v="48611 Clark Village, West Anne, GA 92865"/>
    <s v="OID2842"/>
    <d v="2024-11-26T00:00:00"/>
    <s v="15:52:52"/>
    <s v="PID045"/>
    <n v="33.49"/>
    <n v="5"/>
    <s v="FLAT20"/>
    <n v="20"/>
    <n v="5"/>
    <s v="Late_Delivery"/>
    <n v="64"/>
    <n v="6"/>
    <d v="2024-12-02T00:00:00"/>
    <x v="0"/>
    <x v="7"/>
    <s v="22:30:31"/>
    <n v="197.96"/>
    <n v="33.49"/>
    <n v="133.96"/>
    <n v="167.45000000000002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1661"/>
    <d v="2023-12-09T00:00:00"/>
    <s v="11:10:43"/>
    <s v="PID013"/>
    <n v="235.63"/>
    <n v="1"/>
    <s v="DEL0"/>
    <n v="0"/>
    <n v="6"/>
    <s v="Before_time"/>
    <n v="35"/>
    <n v="3"/>
    <d v="2023-12-12T00:00:00"/>
    <x v="2"/>
    <x v="7"/>
    <s v="14:43:30"/>
    <n v="270.63"/>
    <n v="0"/>
    <n v="235.63"/>
    <n v="235.63"/>
  </r>
  <r>
    <s v="CID164"/>
    <s v="Lauren Lane "/>
    <s v="Lauren"/>
    <s v="Lane"/>
    <n v="30"/>
    <s v="26-35"/>
    <x v="0"/>
    <s v="Dallas"/>
    <s v="lauren.lane@gmail.com"/>
    <x v="2"/>
    <s v="56985 Sergio Extensions, Port Albert, CO 02898"/>
    <s v="OID9123"/>
    <d v="2025-02-07T00:00:00"/>
    <s v="10:50:23"/>
    <s v="PID044"/>
    <n v="20"/>
    <n v="3"/>
    <s v="FLAT10"/>
    <n v="10"/>
    <n v="7"/>
    <s v="Before_time"/>
    <n v="65"/>
    <n v="6"/>
    <d v="2025-02-13T00:00:00"/>
    <x v="1"/>
    <x v="1"/>
    <s v="10:39:52"/>
    <n v="119"/>
    <n v="6"/>
    <n v="54"/>
    <n v="60"/>
  </r>
  <r>
    <s v="CID185"/>
    <s v="Melissa Levy "/>
    <s v="Melissa"/>
    <s v="Levy"/>
    <n v="30"/>
    <s v="26-35"/>
    <x v="0"/>
    <s v="Chicago"/>
    <s v="melissa.levy@rediffmail.com"/>
    <x v="1"/>
    <s v="3303 Kennedy Springs Suite 830, East Amybury, MI 95595"/>
    <s v="OID3981"/>
    <d v="2024-10-22T00:00:00"/>
    <s v="12:04:15"/>
    <s v="PID045"/>
    <n v="33.49"/>
    <n v="5"/>
    <s v="FLAT20"/>
    <n v="20"/>
    <n v="2"/>
    <s v="On_time"/>
    <n v="58"/>
    <n v="2"/>
    <d v="2024-10-24T00:00:00"/>
    <x v="0"/>
    <x v="8"/>
    <s v="05:18:08"/>
    <n v="191.96"/>
    <n v="33.49"/>
    <n v="133.96"/>
    <n v="167.45000000000002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6634"/>
    <d v="2023-03-02T00:00:00"/>
    <s v="02:36:45"/>
    <s v="PID048"/>
    <n v="136.30000000000001"/>
    <n v="1"/>
    <s v="FLAT8"/>
    <n v="8"/>
    <n v="4"/>
    <s v="Before_time"/>
    <n v="41"/>
    <n v="1"/>
    <d v="2023-03-03T00:00:00"/>
    <x v="2"/>
    <x v="0"/>
    <s v="14:57:01"/>
    <n v="166.39600000000002"/>
    <n v="10.904000000000002"/>
    <n v="125.39600000000002"/>
    <n v="136.30000000000001"/>
  </r>
  <r>
    <s v="CID106"/>
    <s v="Scott Jones "/>
    <s v="Scott"/>
    <s v="Jones"/>
    <n v="29"/>
    <s v="26-35"/>
    <x v="2"/>
    <s v="Los Angeles"/>
    <s v="scott.jones@yahoo.com"/>
    <x v="3"/>
    <s v="086 Kristin Manor Apt. 829, Marissabury, CT 12152"/>
    <s v="OID9069"/>
    <d v="2024-09-02T00:00:00"/>
    <s v="02:29:46"/>
    <s v="PID018"/>
    <n v="62.42"/>
    <n v="1"/>
    <s v="FLAT8"/>
    <n v="8"/>
    <n v="3"/>
    <s v="Late_Delivery"/>
    <n v="48"/>
    <n v="5"/>
    <d v="2024-09-07T00:00:00"/>
    <x v="0"/>
    <x v="4"/>
    <s v="13:28:57"/>
    <n v="105.4264"/>
    <n v="4.9935999999999998"/>
    <n v="57.426400000000001"/>
    <n v="62.42"/>
  </r>
  <r>
    <s v="CID175"/>
    <s v="Katherine Weber "/>
    <s v="Katherine"/>
    <s v="Weber"/>
    <n v="42"/>
    <s v="36-45"/>
    <x v="2"/>
    <s v="New York"/>
    <s v="katherine.weber@outlook.com"/>
    <x v="0"/>
    <s v="04887 Kimberly Union Apt. 645, Port Laura, IL 97219"/>
    <s v="OID6802"/>
    <d v="2024-12-20T00:00:00"/>
    <s v="03:00:01"/>
    <s v="PID017"/>
    <n v="425.59"/>
    <n v="5"/>
    <s v="DEL0"/>
    <n v="0"/>
    <n v="5"/>
    <s v="Late_Delivery"/>
    <n v="47"/>
    <n v="6"/>
    <d v="2024-12-26T00:00:00"/>
    <x v="0"/>
    <x v="7"/>
    <s v="06:03:03"/>
    <n v="2174.9499999999998"/>
    <n v="0"/>
    <n v="2127.9499999999998"/>
    <n v="2127.9499999999998"/>
  </r>
  <r>
    <s v="CID128"/>
    <s v="Traci Jones "/>
    <s v="Traci"/>
    <s v="Jones"/>
    <n v="34"/>
    <s v="26-35"/>
    <x v="0"/>
    <s v="Los Angeles"/>
    <s v="traci.jones@yahoo.com"/>
    <x v="3"/>
    <s v="4016 Ryan Passage, Collinsside, PA 88777"/>
    <s v="OID4442"/>
    <d v="2024-07-31T00:00:00"/>
    <s v="01:12:34"/>
    <s v="PID002"/>
    <n v="107.47"/>
    <n v="5"/>
    <s v="FLAT10"/>
    <n v="10"/>
    <n v="5"/>
    <s v="Before_time"/>
    <n v="48"/>
    <n v="1"/>
    <d v="2024-08-01T00:00:00"/>
    <x v="0"/>
    <x v="10"/>
    <s v="10:01:43"/>
    <n v="531.61500000000001"/>
    <n v="53.734999999999999"/>
    <n v="483.61500000000001"/>
    <n v="537.35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4995"/>
    <d v="2023-12-11T00:00:00"/>
    <s v="16:46:34"/>
    <s v="PID036"/>
    <n v="157.63999999999999"/>
    <n v="2"/>
    <s v="DEL0"/>
    <n v="0"/>
    <n v="5"/>
    <s v="Late_Delivery"/>
    <n v="57"/>
    <n v="6"/>
    <d v="2023-12-17T00:00:00"/>
    <x v="2"/>
    <x v="7"/>
    <s v="04:45:34"/>
    <n v="372.28"/>
    <n v="0"/>
    <n v="315.27999999999997"/>
    <n v="315.27999999999997"/>
  </r>
  <r>
    <s v="CID132"/>
    <s v="Timothy Hicks "/>
    <s v="Timothy"/>
    <s v="Hicks"/>
    <n v="31"/>
    <s v="26-35"/>
    <x v="2"/>
    <s v="Miami"/>
    <s v="timothy.hicks@gmail.com"/>
    <x v="2"/>
    <s v="140 Tracy Fields, Lake Cynthiaton, TX 57190"/>
    <s v="OID7650"/>
    <d v="2024-04-16T00:00:00"/>
    <s v="12:40:06"/>
    <s v="PID017"/>
    <n v="425.59"/>
    <n v="2"/>
    <s v="FLAT15"/>
    <n v="15"/>
    <n v="1"/>
    <s v="Late_Delivery"/>
    <n v="44"/>
    <n v="5"/>
    <d v="2024-04-21T00:00:00"/>
    <x v="0"/>
    <x v="3"/>
    <s v="03:46:12"/>
    <n v="767.50299999999993"/>
    <n v="127.67699999999999"/>
    <n v="723.50299999999993"/>
    <n v="851.18"/>
  </r>
  <r>
    <s v="CID194"/>
    <s v="Barbara Fuller "/>
    <s v="Barbara"/>
    <s v="Fuller"/>
    <n v="43"/>
    <s v="36-45"/>
    <x v="2"/>
    <s v="Chicago"/>
    <s v="barbara.fuller@rediffmail.com"/>
    <x v="1"/>
    <s v="134 Mcintosh Unions Suite 574, Lake Laura, DE 96577"/>
    <s v="OID5555"/>
    <d v="2024-05-20T00:00:00"/>
    <s v="21:41:18"/>
    <s v="PID008"/>
    <n v="461.07"/>
    <n v="1"/>
    <s v="FLAT8"/>
    <n v="8"/>
    <n v="1"/>
    <s v="On_time"/>
    <n v="42"/>
    <n v="1"/>
    <d v="2024-05-21T00:00:00"/>
    <x v="0"/>
    <x v="2"/>
    <s v="21:10:12"/>
    <n v="466.18440000000004"/>
    <n v="36.885599999999997"/>
    <n v="424.18440000000004"/>
    <n v="461.07"/>
  </r>
  <r>
    <s v="CID198"/>
    <s v="David Delacruz "/>
    <s v="David"/>
    <s v="Delacruz"/>
    <n v="26"/>
    <s v="26-35"/>
    <x v="1"/>
    <s v="Los Angeles"/>
    <s v="david.delacruz@rediffmail.com"/>
    <x v="1"/>
    <s v="USNS Ray, FPO AE 20238"/>
    <s v="OID1769"/>
    <d v="2024-06-06T00:00:00"/>
    <s v="18:51:12"/>
    <s v="PID013"/>
    <n v="235.63"/>
    <n v="1"/>
    <s v="FLAT15"/>
    <n v="15"/>
    <n v="3"/>
    <s v="Late_Delivery"/>
    <n v="55"/>
    <n v="6"/>
    <d v="2024-06-12T00:00:00"/>
    <x v="0"/>
    <x v="6"/>
    <s v="01:58:20"/>
    <n v="255.28549999999998"/>
    <n v="35.344499999999996"/>
    <n v="200.28549999999998"/>
    <n v="235.63"/>
  </r>
  <r>
    <s v="CID125"/>
    <s v="Kelli Smith "/>
    <s v="Kelli"/>
    <s v="Smith"/>
    <n v="18"/>
    <s v="0-25"/>
    <x v="1"/>
    <s v="Houston"/>
    <s v="kelli.smith@rediffmail.com"/>
    <x v="1"/>
    <s v="788 Kristina Lane, Montoyaside, VA 90756"/>
    <s v="OID2189"/>
    <d v="2023-09-09T00:00:00"/>
    <s v="16:35:28"/>
    <s v="PID016"/>
    <n v="133.62"/>
    <n v="2"/>
    <s v="FLAT8"/>
    <n v="8"/>
    <n v="2"/>
    <s v="Late_Delivery"/>
    <n v="48"/>
    <n v="6"/>
    <d v="2023-09-15T00:00:00"/>
    <x v="2"/>
    <x v="4"/>
    <s v="07:06:38"/>
    <n v="293.86080000000004"/>
    <n v="21.379200000000001"/>
    <n v="245.86080000000001"/>
    <n v="267.24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9035"/>
    <d v="2023-03-20T00:00:00"/>
    <s v="15:11:02"/>
    <s v="PID024"/>
    <n v="104.18"/>
    <n v="1"/>
    <s v="FLAT8"/>
    <n v="8"/>
    <n v="5"/>
    <s v="Before_time"/>
    <n v="37"/>
    <n v="2"/>
    <d v="2023-03-22T00:00:00"/>
    <x v="2"/>
    <x v="0"/>
    <s v="14:16:59"/>
    <n v="132.84559999999999"/>
    <n v="8.3344000000000005"/>
    <n v="95.845600000000005"/>
    <n v="104.18"/>
  </r>
  <r>
    <s v="CID183"/>
    <s v="Troy Gomez "/>
    <s v="Troy"/>
    <s v="Gomez"/>
    <n v="68"/>
    <s v="&gt;45"/>
    <x v="0"/>
    <s v="Dallas"/>
    <s v="troy.gomez@outlook.com"/>
    <x v="0"/>
    <s v="7510 Jose Knolls, Candicechester, LA 62815"/>
    <s v="OID4219"/>
    <d v="2024-09-01T00:00:00"/>
    <s v="08:03:37"/>
    <s v="PID046"/>
    <n v="363.64"/>
    <n v="4"/>
    <s v="FLAT20"/>
    <n v="20"/>
    <n v="2"/>
    <s v="Late_Delivery"/>
    <n v="42"/>
    <n v="4"/>
    <d v="2024-09-05T00:00:00"/>
    <x v="0"/>
    <x v="4"/>
    <s v="13:50:58"/>
    <n v="1205.6479999999999"/>
    <n v="290.91199999999998"/>
    <n v="1163.6479999999999"/>
    <n v="1454.56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1694"/>
    <d v="2024-01-19T00:00:00"/>
    <s v="04:43:46"/>
    <s v="PID039"/>
    <n v="220.27"/>
    <n v="2"/>
    <s v="FLAT15"/>
    <n v="15"/>
    <n v="7"/>
    <s v="On_time"/>
    <n v="42"/>
    <n v="7"/>
    <d v="2024-01-26T00:00:00"/>
    <x v="0"/>
    <x v="5"/>
    <s v="01:46:40"/>
    <n v="416.459"/>
    <n v="66.081000000000003"/>
    <n v="374.459"/>
    <n v="440.54"/>
  </r>
  <r>
    <s v="CID143"/>
    <s v="Kim Blevins "/>
    <s v="Kim"/>
    <s v="Blevins"/>
    <n v="65"/>
    <s v="&gt;45"/>
    <x v="1"/>
    <s v="Los Angeles"/>
    <s v="kim.blevins@outlook.com"/>
    <x v="0"/>
    <s v="089 Rice Shoal Suite 491, Juarezmouth, MI 88715"/>
    <s v="OID7495"/>
    <d v="2023-08-29T00:00:00"/>
    <s v="21:09:31"/>
    <s v="PID045"/>
    <n v="33.49"/>
    <n v="3"/>
    <s v="FLAT10"/>
    <n v="10"/>
    <n v="1"/>
    <s v="Late_Delivery"/>
    <n v="50"/>
    <n v="5"/>
    <d v="2023-09-03T00:00:00"/>
    <x v="2"/>
    <x v="4"/>
    <s v="06:09:19"/>
    <n v="140.423"/>
    <n v="10.047000000000001"/>
    <n v="90.423000000000002"/>
    <n v="100.47"/>
  </r>
  <r>
    <s v="CID133"/>
    <s v="Donna Oneill "/>
    <s v="Donna"/>
    <s v="Oneill"/>
    <n v="70"/>
    <s v="&gt;45"/>
    <x v="0"/>
    <s v="San Francisco"/>
    <s v="donna.oneill@yahoo.com"/>
    <x v="3"/>
    <s v="464 Carolyn Crest Suite 738, Lake Isaiah, CA 66153"/>
    <s v="OID1080"/>
    <d v="2023-08-07T00:00:00"/>
    <s v="01:04:28"/>
    <s v="PID036"/>
    <n v="157.63999999999999"/>
    <n v="2"/>
    <s v="FLAT10"/>
    <n v="10"/>
    <n v="6"/>
    <s v="Before_time"/>
    <n v="65"/>
    <n v="3"/>
    <d v="2023-08-10T00:00:00"/>
    <x v="2"/>
    <x v="10"/>
    <s v="16:40:55"/>
    <n v="348.75200000000001"/>
    <n v="31.527999999999999"/>
    <n v="283.75200000000001"/>
    <n v="315.27999999999997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4539"/>
    <d v="2023-03-25T00:00:00"/>
    <s v="15:06:18"/>
    <s v="PID049"/>
    <n v="441.03"/>
    <n v="5"/>
    <s v="FLAT20"/>
    <n v="20"/>
    <n v="7"/>
    <s v="Before_time"/>
    <n v="36"/>
    <n v="6"/>
    <d v="2023-03-31T00:00:00"/>
    <x v="2"/>
    <x v="0"/>
    <s v="03:50:06"/>
    <n v="1800.12"/>
    <n v="441.02999999999992"/>
    <n v="1764.12"/>
    <n v="2205.1499999999996"/>
  </r>
  <r>
    <s v="CID174"/>
    <s v="Jodi Whitney "/>
    <s v="Jodi"/>
    <s v="Whitney"/>
    <n v="33"/>
    <s v="26-35"/>
    <x v="2"/>
    <s v="San Francisco"/>
    <s v="jodi.whitney@yahoo.com"/>
    <x v="3"/>
    <s v="72876 Lara Key Suite 383, Gutierrezton, OR 71683"/>
    <s v="OID8093"/>
    <d v="2024-12-02T00:00:00"/>
    <s v="15:43:42"/>
    <s v="PID001"/>
    <n v="369.03"/>
    <n v="4"/>
    <s v="FLAT8"/>
    <n v="8"/>
    <n v="5"/>
    <s v="Before_time"/>
    <n v="48"/>
    <n v="1"/>
    <d v="2024-12-03T00:00:00"/>
    <x v="0"/>
    <x v="7"/>
    <s v="15:41:25"/>
    <n v="1406.0303999999999"/>
    <n v="118.08959999999999"/>
    <n v="1358.0303999999999"/>
    <n v="1476.12"/>
  </r>
  <r>
    <s v="CID184"/>
    <s v="Aaron Thompson "/>
    <s v="Aaron"/>
    <s v="Thompson"/>
    <n v="47"/>
    <s v="&gt;45"/>
    <x v="1"/>
    <s v="Los Angeles"/>
    <s v="aaron.thompson@gmail.com"/>
    <x v="2"/>
    <s v="PSC 0550, Box 2737, APO AE 75772"/>
    <s v="OID1707"/>
    <d v="2024-08-25T00:00:00"/>
    <s v="21:05:38"/>
    <s v="PID021"/>
    <n v="129.75"/>
    <n v="2"/>
    <s v="FLAT20"/>
    <n v="20"/>
    <n v="5"/>
    <s v="Before_time"/>
    <n v="47"/>
    <n v="3"/>
    <d v="2024-08-28T00:00:00"/>
    <x v="0"/>
    <x v="10"/>
    <s v="17:28:07"/>
    <n v="254.60000000000002"/>
    <n v="51.9"/>
    <n v="207.60000000000002"/>
    <n v="259.5"/>
  </r>
  <r>
    <s v="CID154"/>
    <s v="Angela Casey "/>
    <s v="Angela"/>
    <s v="Casey"/>
    <n v="40"/>
    <s v="36-45"/>
    <x v="0"/>
    <s v="New York"/>
    <s v="angela.casey@gmail.com"/>
    <x v="2"/>
    <s v="089 Farley Terrace, Thomashaven, MT 56607"/>
    <s v="OID5703"/>
    <d v="2023-09-06T00:00:00"/>
    <s v="16:01:40"/>
    <s v="PID003"/>
    <n v="20.7"/>
    <n v="2"/>
    <s v="FLAT8"/>
    <n v="8"/>
    <n v="5"/>
    <s v="Before_time"/>
    <n v="61"/>
    <n v="2"/>
    <d v="2023-09-08T00:00:00"/>
    <x v="2"/>
    <x v="4"/>
    <s v="02:24:54"/>
    <n v="99.087999999999994"/>
    <n v="3.3119999999999998"/>
    <n v="38.088000000000001"/>
    <n v="41.4"/>
  </r>
  <r>
    <s v="CID107"/>
    <s v="Lisa Miller "/>
    <s v="Lisa"/>
    <s v="Miller"/>
    <n v="70"/>
    <s v="&gt;45"/>
    <x v="1"/>
    <s v="Los Angeles"/>
    <s v="lisa.miller@gmail.com"/>
    <x v="2"/>
    <s v="89748 Campbell Drive, South Tannerland, WI 13143"/>
    <s v="OID7457"/>
    <d v="2024-03-28T00:00:00"/>
    <s v="13:25:17"/>
    <s v="PID041"/>
    <n v="372.62"/>
    <n v="2"/>
    <s v="FLAT10"/>
    <n v="10"/>
    <n v="4"/>
    <s v="Before_time"/>
    <n v="57"/>
    <n v="3"/>
    <d v="2024-03-31T00:00:00"/>
    <x v="0"/>
    <x v="0"/>
    <s v="13:52:42"/>
    <n v="727.71600000000001"/>
    <n v="74.524000000000001"/>
    <n v="670.71600000000001"/>
    <n v="745.24"/>
  </r>
  <r>
    <s v="CID197"/>
    <s v="Gary Jacobs "/>
    <s v="Gary"/>
    <s v="Jacobs"/>
    <n v="64"/>
    <s v="&gt;45"/>
    <x v="1"/>
    <s v="New York"/>
    <s v="gary.jacobs@gmail.com"/>
    <x v="2"/>
    <s v="USNV Williams, FPO AP 23197"/>
    <s v="OID4784"/>
    <d v="2024-12-07T00:00:00"/>
    <s v="07:19:13"/>
    <s v="PID002"/>
    <n v="107.47"/>
    <n v="4"/>
    <s v="FLAT20"/>
    <n v="20"/>
    <n v="5"/>
    <s v="Before_time"/>
    <n v="42"/>
    <n v="4"/>
    <d v="2024-12-11T00:00:00"/>
    <x v="0"/>
    <x v="7"/>
    <s v="04:47:20"/>
    <n v="385.904"/>
    <n v="85.975999999999999"/>
    <n v="343.904"/>
    <n v="429.88"/>
  </r>
  <r>
    <s v="CID197"/>
    <s v="Gary Jacobs "/>
    <s v="Gary"/>
    <s v="Jacobs"/>
    <n v="64"/>
    <s v="&gt;45"/>
    <x v="1"/>
    <s v="New York"/>
    <s v="gary.jacobs@gmail.com"/>
    <x v="2"/>
    <s v="USNV Williams, FPO AP 23197"/>
    <s v="OID1726"/>
    <d v="2024-09-04T00:00:00"/>
    <s v="11:30:19"/>
    <s v="PID022"/>
    <n v="308.88"/>
    <n v="2"/>
    <s v="FLAT20"/>
    <n v="20"/>
    <n v="2"/>
    <s v="On_time"/>
    <n v="55"/>
    <n v="2"/>
    <d v="2024-09-06T00:00:00"/>
    <x v="0"/>
    <x v="4"/>
    <s v="02:44:11"/>
    <n v="549.20800000000008"/>
    <n v="123.55200000000001"/>
    <n v="494.20800000000003"/>
    <n v="617.76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1073"/>
    <d v="2025-01-27T00:00:00"/>
    <s v="03:51:26"/>
    <s v="PID018"/>
    <n v="62.42"/>
    <n v="5"/>
    <s v="FLAT15"/>
    <n v="15"/>
    <n v="6"/>
    <s v="On_time"/>
    <n v="69"/>
    <n v="6"/>
    <d v="2025-02-02T00:00:00"/>
    <x v="1"/>
    <x v="1"/>
    <s v="12:59:30"/>
    <n v="334.28500000000003"/>
    <n v="46.814999999999998"/>
    <n v="265.28500000000003"/>
    <n v="312.10000000000002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7443"/>
    <d v="2024-05-17T00:00:00"/>
    <s v="15:44:41"/>
    <s v="PID019"/>
    <n v="286.07"/>
    <n v="1"/>
    <s v="DEL0"/>
    <n v="0"/>
    <n v="4"/>
    <s v="Late_Delivery"/>
    <n v="43"/>
    <n v="5"/>
    <d v="2024-05-22T00:00:00"/>
    <x v="0"/>
    <x v="2"/>
    <s v="03:08:53"/>
    <n v="329.07"/>
    <n v="0"/>
    <n v="286.07"/>
    <n v="286.07"/>
  </r>
  <r>
    <s v="CID197"/>
    <s v="Gary Jacobs "/>
    <s v="Gary"/>
    <s v="Jacobs"/>
    <n v="64"/>
    <s v="&gt;45"/>
    <x v="1"/>
    <s v="New York"/>
    <s v="gary.jacobs@gmail.com"/>
    <x v="2"/>
    <s v="USNV Williams, FPO AP 23197"/>
    <s v="OID1025"/>
    <d v="2024-03-28T00:00:00"/>
    <s v="02:29:08"/>
    <s v="PID015"/>
    <n v="166.28"/>
    <n v="2"/>
    <s v="FLAT20"/>
    <n v="20"/>
    <n v="4"/>
    <s v="Late_Delivery"/>
    <n v="40"/>
    <n v="5"/>
    <d v="2024-04-02T00:00:00"/>
    <x v="0"/>
    <x v="3"/>
    <s v="01:57:29"/>
    <n v="306.048"/>
    <n v="66.512"/>
    <n v="266.048"/>
    <n v="332.56"/>
  </r>
  <r>
    <s v="CID144"/>
    <s v="William Mann "/>
    <s v="William"/>
    <s v="Mann"/>
    <n v="21"/>
    <s v="0-25"/>
    <x v="0"/>
    <s v="Houston"/>
    <s v="william.mann@yahoo.com"/>
    <x v="3"/>
    <s v="849 Tran Wells, New Lindsayville, WI 22669"/>
    <s v="OID8826"/>
    <d v="2024-12-12T00:00:00"/>
    <s v="04:40:06"/>
    <s v="PID035"/>
    <n v="433.62"/>
    <n v="2"/>
    <s v="FLAT10"/>
    <n v="10"/>
    <n v="7"/>
    <s v="Before_time"/>
    <n v="39"/>
    <n v="6"/>
    <d v="2024-12-18T00:00:00"/>
    <x v="0"/>
    <x v="7"/>
    <s v="02:03:57"/>
    <n v="819.51600000000008"/>
    <n v="86.72399999999999"/>
    <n v="780.51600000000008"/>
    <n v="867.24"/>
  </r>
  <r>
    <s v="CID180"/>
    <s v="Thomas Andersen "/>
    <s v="Thomas"/>
    <s v="Andersen"/>
    <n v="50"/>
    <s v="&gt;45"/>
    <x v="2"/>
    <s v="Miami"/>
    <s v="thomas.andersen@yahoo.com"/>
    <x v="3"/>
    <s v="480 Summers Lock Suite 819, Sarahborough, IA 59863"/>
    <s v="OID6254"/>
    <d v="2023-08-11T00:00:00"/>
    <s v="01:51:31"/>
    <s v="PID031"/>
    <n v="405"/>
    <n v="3"/>
    <s v="FLAT10"/>
    <n v="10"/>
    <n v="6"/>
    <s v="Before_time"/>
    <n v="36"/>
    <n v="4"/>
    <d v="2023-08-15T00:00:00"/>
    <x v="2"/>
    <x v="10"/>
    <s v="05:04:36"/>
    <n v="1129.5"/>
    <n v="121.5"/>
    <n v="1093.5"/>
    <n v="1215"/>
  </r>
  <r>
    <s v="CID150"/>
    <s v="Anthony Thomas "/>
    <s v="Anthony"/>
    <s v="Thomas"/>
    <n v="53"/>
    <s v="&gt;45"/>
    <x v="1"/>
    <s v="Houston"/>
    <s v="anthony.thomas@rediffmail.com"/>
    <x v="1"/>
    <s v="931 Christopher Ways Suite 833, North Michelle, IN 53484"/>
    <s v="OID7518"/>
    <d v="2023-05-30T00:00:00"/>
    <s v="11:55:04"/>
    <s v="PID043"/>
    <n v="330.11"/>
    <n v="3"/>
    <s v="FLAT20"/>
    <n v="20"/>
    <n v="7"/>
    <s v="Before_time"/>
    <n v="40"/>
    <n v="4"/>
    <d v="2023-06-03T00:00:00"/>
    <x v="2"/>
    <x v="6"/>
    <s v="05:45:33"/>
    <n v="832.26400000000012"/>
    <n v="198.06600000000003"/>
    <n v="792.26400000000012"/>
    <n v="990.33"/>
  </r>
  <r>
    <s v="CID196"/>
    <s v="Regina Hawkins "/>
    <s v="Regina"/>
    <s v="Hawkins"/>
    <n v="47"/>
    <s v="&gt;45"/>
    <x v="1"/>
    <s v="Phoenix"/>
    <s v="regina.hawkins@rediffmail.com"/>
    <x v="1"/>
    <s v="096 Santos Neck Apt. 937, Benjaminmouth, FL 61454"/>
    <s v="OID4491"/>
    <d v="2024-03-29T00:00:00"/>
    <s v="16:42:26"/>
    <s v="PID043"/>
    <n v="330.11"/>
    <n v="1"/>
    <s v="FLAT10"/>
    <n v="10"/>
    <n v="4"/>
    <s v="On_time"/>
    <n v="39"/>
    <n v="4"/>
    <d v="2024-04-02T00:00:00"/>
    <x v="0"/>
    <x v="3"/>
    <s v="08:22:44"/>
    <n v="336.09900000000005"/>
    <n v="33.011000000000003"/>
    <n v="297.09900000000005"/>
    <n v="330.11"/>
  </r>
  <r>
    <s v="CID146"/>
    <s v="Janice Gordon "/>
    <s v="Janice"/>
    <s v="Gordon"/>
    <n v="43"/>
    <s v="36-45"/>
    <x v="0"/>
    <s v="Houston"/>
    <s v="janice.gordon@yahoo.com"/>
    <x v="3"/>
    <s v="5812 Evelyn Mountains Suite 845, Ortiztown, MN 86166"/>
    <s v="OID8288"/>
    <d v="2024-10-06T00:00:00"/>
    <s v="02:55:29"/>
    <s v="PID005"/>
    <n v="445.81"/>
    <n v="2"/>
    <s v="FLAT15"/>
    <n v="15"/>
    <n v="4"/>
    <s v="Late_Delivery"/>
    <n v="59"/>
    <n v="5"/>
    <d v="2024-10-11T00:00:00"/>
    <x v="0"/>
    <x v="8"/>
    <s v="04:21:49"/>
    <n v="816.87699999999995"/>
    <n v="133.74299999999999"/>
    <n v="757.87699999999995"/>
    <n v="891.62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6504"/>
    <d v="2024-03-29T00:00:00"/>
    <s v="12:05:41"/>
    <s v="PID045"/>
    <n v="33.49"/>
    <n v="1"/>
    <s v="DEL0"/>
    <n v="0"/>
    <n v="2"/>
    <s v="Late_Delivery"/>
    <n v="69"/>
    <n v="5"/>
    <d v="2024-04-03T00:00:00"/>
    <x v="0"/>
    <x v="3"/>
    <s v="04:38:50"/>
    <n v="102.49000000000001"/>
    <n v="0"/>
    <n v="33.49"/>
    <n v="33.49"/>
  </r>
  <r>
    <s v="CID132"/>
    <s v="Timothy Hicks "/>
    <s v="Timothy"/>
    <s v="Hicks"/>
    <n v="31"/>
    <s v="26-35"/>
    <x v="2"/>
    <s v="Miami"/>
    <s v="timothy.hicks@gmail.com"/>
    <x v="2"/>
    <s v="140 Tracy Fields, Lake Cynthiaton, TX 57190"/>
    <s v="OID2595"/>
    <d v="2024-08-21T00:00:00"/>
    <s v="03:10:32"/>
    <s v="PID036"/>
    <n v="157.63999999999999"/>
    <n v="1"/>
    <s v="FLAT20"/>
    <n v="20"/>
    <n v="7"/>
    <s v="Before_time"/>
    <n v="46"/>
    <n v="2"/>
    <d v="2024-08-23T00:00:00"/>
    <x v="0"/>
    <x v="10"/>
    <s v="11:44:11"/>
    <n v="172.11199999999999"/>
    <n v="31.527999999999999"/>
    <n v="126.11199999999999"/>
    <n v="157.63999999999999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9478"/>
    <d v="2023-11-27T00:00:00"/>
    <s v="17:54:41"/>
    <s v="PID007"/>
    <n v="257.06"/>
    <n v="1"/>
    <s v="FLAT8"/>
    <n v="8"/>
    <n v="3"/>
    <s v="Before_time"/>
    <n v="47"/>
    <n v="2"/>
    <d v="2023-11-29T00:00:00"/>
    <x v="2"/>
    <x v="11"/>
    <s v="08:42:42"/>
    <n v="283.49520000000001"/>
    <n v="20.564800000000002"/>
    <n v="236.49520000000001"/>
    <n v="257.06"/>
  </r>
  <r>
    <s v="CID189"/>
    <s v="Christine Aguilar "/>
    <s v="Christine"/>
    <s v="Aguilar"/>
    <n v="46"/>
    <s v="&gt;45"/>
    <x v="0"/>
    <s v="Phoenix"/>
    <s v="christine.aguilar@gmail.com"/>
    <x v="2"/>
    <s v="3284 Martin Neck, Lopezville, NY 69154"/>
    <s v="OID1169"/>
    <d v="2023-02-23T00:00:00"/>
    <s v="07:11:33"/>
    <s v="PID020"/>
    <n v="431.44"/>
    <n v="3"/>
    <s v="FLAT8"/>
    <n v="8"/>
    <n v="6"/>
    <s v="Before_time"/>
    <n v="70"/>
    <n v="3"/>
    <d v="2023-02-26T00:00:00"/>
    <x v="2"/>
    <x v="1"/>
    <s v="03:38:41"/>
    <n v="1260.7744"/>
    <n v="103.54559999999999"/>
    <n v="1190.7744"/>
    <n v="1294.32"/>
  </r>
  <r>
    <s v="CID196"/>
    <s v="Regina Hawkins "/>
    <s v="Regina"/>
    <s v="Hawkins"/>
    <n v="47"/>
    <s v="&gt;45"/>
    <x v="1"/>
    <s v="Phoenix"/>
    <s v="regina.hawkins@rediffmail.com"/>
    <x v="1"/>
    <s v="096 Santos Neck Apt. 937, Benjaminmouth, FL 61454"/>
    <s v="OID6775"/>
    <d v="2023-09-14T00:00:00"/>
    <s v="06:54:03"/>
    <s v="PID012"/>
    <n v="132.97"/>
    <n v="1"/>
    <s v="FLAT15"/>
    <n v="15"/>
    <n v="6"/>
    <s v="Late_Delivery"/>
    <n v="37"/>
    <n v="7"/>
    <d v="2023-09-21T00:00:00"/>
    <x v="2"/>
    <x v="4"/>
    <s v="01:13:09"/>
    <n v="150.02449999999999"/>
    <n v="19.945499999999999"/>
    <n v="113.02449999999999"/>
    <n v="132.97"/>
  </r>
  <r>
    <s v="CID196"/>
    <s v="Regina Hawkins "/>
    <s v="Regina"/>
    <s v="Hawkins"/>
    <n v="47"/>
    <s v="&gt;45"/>
    <x v="1"/>
    <s v="Phoenix"/>
    <s v="regina.hawkins@rediffmail.com"/>
    <x v="1"/>
    <s v="096 Santos Neck Apt. 937, Benjaminmouth, FL 61454"/>
    <s v="OID2383"/>
    <d v="2023-03-30T00:00:00"/>
    <s v="04:44:42"/>
    <s v="PID027"/>
    <n v="481.48"/>
    <n v="2"/>
    <s v="DEL0"/>
    <n v="0"/>
    <n v="5"/>
    <s v="Before_time"/>
    <n v="45"/>
    <n v="2"/>
    <d v="2023-04-01T00:00:00"/>
    <x v="2"/>
    <x v="3"/>
    <s v="02:15:04"/>
    <n v="1007.96"/>
    <n v="0"/>
    <n v="962.96"/>
    <n v="962.96"/>
  </r>
  <r>
    <s v="CID167"/>
    <s v="Diana French "/>
    <s v="Diana"/>
    <s v="French"/>
    <n v="54"/>
    <s v="&gt;45"/>
    <x v="1"/>
    <s v="New York"/>
    <s v="diana.french@outlook.com"/>
    <x v="0"/>
    <s v="163 Jeffrey Drive, South Mary, NH 23999"/>
    <s v="OID3750"/>
    <d v="2024-10-22T00:00:00"/>
    <s v="04:44:04"/>
    <s v="PID009"/>
    <n v="87.09"/>
    <n v="5"/>
    <s v="FLAT15"/>
    <n v="15"/>
    <n v="7"/>
    <s v="Before_time"/>
    <n v="40"/>
    <n v="2"/>
    <d v="2024-10-24T00:00:00"/>
    <x v="0"/>
    <x v="8"/>
    <s v="21:00:20"/>
    <n v="410.13250000000005"/>
    <n v="65.31750000000001"/>
    <n v="370.13250000000005"/>
    <n v="435.45000000000005"/>
  </r>
  <r>
    <s v="CID124"/>
    <s v="Edward Black "/>
    <s v="Edward"/>
    <s v="Black"/>
    <n v="42"/>
    <s v="36-45"/>
    <x v="0"/>
    <s v="New York"/>
    <s v="edward.black@gmail.com"/>
    <x v="2"/>
    <s v="5879 Susan Via Apt. 886, Sandovalbury, WV 61449"/>
    <s v="OID4837"/>
    <d v="2024-10-31T00:00:00"/>
    <s v="22:42:38"/>
    <s v="PID029"/>
    <n v="381.73"/>
    <n v="5"/>
    <s v="FLAT15"/>
    <n v="15"/>
    <n v="1"/>
    <s v="Late_Delivery"/>
    <n v="53"/>
    <n v="7"/>
    <d v="2024-11-07T00:00:00"/>
    <x v="0"/>
    <x v="11"/>
    <s v="12:41:59"/>
    <n v="1675.3525"/>
    <n v="286.29750000000001"/>
    <n v="1622.3525"/>
    <n v="1908.65"/>
  </r>
  <r>
    <s v="CID122"/>
    <s v="Jared Horn "/>
    <s v="Jared"/>
    <s v="Horn"/>
    <n v="43"/>
    <s v="36-45"/>
    <x v="0"/>
    <s v="Miami"/>
    <s v="jared.horn@outlook.com"/>
    <x v="0"/>
    <s v="43325 Barbara Tunnel, Port James, LA 16246"/>
    <s v="OID6975"/>
    <d v="2023-06-10T00:00:00"/>
    <s v="18:23:17"/>
    <s v="PID020"/>
    <n v="431.44"/>
    <n v="3"/>
    <s v="FLAT15"/>
    <n v="15"/>
    <n v="4"/>
    <s v="Late_Delivery"/>
    <n v="58"/>
    <n v="5"/>
    <d v="2023-06-15T00:00:00"/>
    <x v="2"/>
    <x v="6"/>
    <s v="19:23:44"/>
    <n v="1158.172"/>
    <n v="194.148"/>
    <n v="1100.172"/>
    <n v="1294.32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1869"/>
    <d v="2024-04-11T00:00:00"/>
    <s v="12:14:10"/>
    <s v="PID013"/>
    <n v="235.63"/>
    <n v="3"/>
    <s v="DEL0"/>
    <n v="0"/>
    <n v="6"/>
    <s v="Before_time"/>
    <n v="41"/>
    <n v="5"/>
    <d v="2024-04-16T00:00:00"/>
    <x v="0"/>
    <x v="3"/>
    <s v="03:34:04"/>
    <n v="747.89"/>
    <n v="0"/>
    <n v="706.89"/>
    <n v="706.89"/>
  </r>
  <r>
    <s v="CID148"/>
    <s v="Erin Miller "/>
    <s v="Erin"/>
    <s v="Miller"/>
    <n v="46"/>
    <s v="&gt;45"/>
    <x v="0"/>
    <s v="San Francisco"/>
    <s v="erin.miller@gmail.com"/>
    <x v="2"/>
    <s v="65972 Peterson Route, Port Andrewfurt, SD 32892"/>
    <s v="OID3921"/>
    <d v="2024-08-21T00:00:00"/>
    <s v="04:53:45"/>
    <s v="PID041"/>
    <n v="372.62"/>
    <n v="4"/>
    <s v="FLAT8"/>
    <n v="8"/>
    <n v="3"/>
    <s v="Late_Delivery"/>
    <n v="48"/>
    <n v="5"/>
    <d v="2024-08-26T00:00:00"/>
    <x v="0"/>
    <x v="10"/>
    <s v="05:48:22"/>
    <n v="1419.2416000000001"/>
    <n v="119.2384"/>
    <n v="1371.2416000000001"/>
    <n v="1490.48"/>
  </r>
  <r>
    <s v="CID120"/>
    <s v="Jenny Estrada "/>
    <s v="Jenny"/>
    <s v="Estrada"/>
    <n v="45"/>
    <s v="36-45"/>
    <x v="0"/>
    <s v="Houston"/>
    <s v="jenny.estrada@yahoo.com"/>
    <x v="3"/>
    <s v="792 Carlos Islands, West David, CT 16522"/>
    <s v="OID4056"/>
    <d v="2023-06-26T00:00:00"/>
    <s v="10:23:23"/>
    <s v="PID005"/>
    <n v="445.81"/>
    <n v="3"/>
    <s v="FLAT20"/>
    <n v="20"/>
    <n v="1"/>
    <s v="Late_Delivery"/>
    <n v="58"/>
    <n v="6"/>
    <d v="2023-07-02T00:00:00"/>
    <x v="2"/>
    <x v="9"/>
    <s v="21:18:46"/>
    <n v="1127.9440000000002"/>
    <n v="267.48600000000005"/>
    <n v="1069.9440000000002"/>
    <n v="1337.43"/>
  </r>
  <r>
    <s v="CID118"/>
    <s v="Amy Ellis "/>
    <s v="Amy"/>
    <s v="Ellis"/>
    <n v="44"/>
    <s v="36-45"/>
    <x v="2"/>
    <s v="Los Angeles"/>
    <s v="amy.ellis@gmail.com"/>
    <x v="2"/>
    <s v="217 Scott Ville, Christophermouth, NH 83776"/>
    <s v="OID4907"/>
    <d v="2024-04-28T00:00:00"/>
    <s v="20:13:44"/>
    <s v="PID025"/>
    <n v="403.03"/>
    <n v="2"/>
    <s v="FLAT15"/>
    <n v="15"/>
    <n v="7"/>
    <s v="On_time"/>
    <n v="39"/>
    <n v="7"/>
    <d v="2024-05-05T00:00:00"/>
    <x v="0"/>
    <x v="2"/>
    <s v="09:06:18"/>
    <n v="724.15099999999995"/>
    <n v="120.90899999999999"/>
    <n v="685.15099999999995"/>
    <n v="806.06"/>
  </r>
  <r>
    <s v="CID119"/>
    <s v="Amy Griffin "/>
    <s v="Amy"/>
    <s v="Griffin"/>
    <n v="29"/>
    <s v="26-35"/>
    <x v="0"/>
    <s v="Houston"/>
    <s v="amy.griffin@rediffmail.com"/>
    <x v="1"/>
    <s v="07350 Aaron Meadow Suite 138, Kiaraberg, AL 79545"/>
    <s v="OID9684"/>
    <d v="2024-05-11T00:00:00"/>
    <s v="12:43:07"/>
    <s v="PID004"/>
    <n v="496.59"/>
    <n v="5"/>
    <s v="FLAT8"/>
    <n v="8"/>
    <n v="3"/>
    <s v="Before_time"/>
    <n v="61"/>
    <n v="2"/>
    <d v="2024-05-13T00:00:00"/>
    <x v="0"/>
    <x v="2"/>
    <s v="05:09:35"/>
    <n v="2345.3139999999999"/>
    <n v="198.636"/>
    <n v="2284.3139999999999"/>
    <n v="2482.9499999999998"/>
  </r>
  <r>
    <s v="CID149"/>
    <s v="Angela Horne "/>
    <s v="Angela"/>
    <s v="Horne"/>
    <n v="49"/>
    <s v="&gt;45"/>
    <x v="2"/>
    <s v="Phoenix"/>
    <s v="angela.horne@outlook.com"/>
    <x v="0"/>
    <s v="USNV Mueller, FPO AP 54648"/>
    <s v="OID2044"/>
    <d v="2024-03-26T00:00:00"/>
    <s v="22:16:48"/>
    <s v="PID010"/>
    <n v="44.5"/>
    <n v="3"/>
    <s v="FLAT20"/>
    <n v="20"/>
    <n v="7"/>
    <s v="Before_time"/>
    <n v="40"/>
    <n v="5"/>
    <d v="2024-03-31T00:00:00"/>
    <x v="0"/>
    <x v="0"/>
    <s v="16:09:18"/>
    <n v="146.80000000000001"/>
    <n v="26.7"/>
    <n v="106.80000000000001"/>
    <n v="133.5"/>
  </r>
  <r>
    <s v="CID114"/>
    <s v="Lauren Crane "/>
    <s v="Lauren"/>
    <s v="Crane"/>
    <n v="62"/>
    <s v="&gt;45"/>
    <x v="1"/>
    <s v="Houston"/>
    <s v="lauren.crane@yahoo.com"/>
    <x v="3"/>
    <s v="30313 Reyes Parkways Suite 392, Port Bradley, SC 24078"/>
    <s v="OID6436"/>
    <d v="2024-06-08T00:00:00"/>
    <s v="13:00:52"/>
    <s v="PID018"/>
    <n v="62.42"/>
    <n v="5"/>
    <s v="DEL0"/>
    <n v="0"/>
    <n v="2"/>
    <s v="On_time"/>
    <n v="47"/>
    <n v="2"/>
    <d v="2024-06-10T00:00:00"/>
    <x v="0"/>
    <x v="6"/>
    <s v="00:18:32"/>
    <n v="359.1"/>
    <n v="0"/>
    <n v="312.10000000000002"/>
    <n v="312.10000000000002"/>
  </r>
  <r>
    <s v="CID156"/>
    <s v="Gregory Lee "/>
    <s v="Gregory"/>
    <s v="Lee"/>
    <n v="26"/>
    <s v="26-35"/>
    <x v="2"/>
    <s v="New York"/>
    <s v="gregory.lee@rediffmail.com"/>
    <x v="1"/>
    <s v="619 Parker Turnpike Apt. 025, West Brucehaven, ID 48437"/>
    <s v="OID9374"/>
    <d v="2024-03-11T00:00:00"/>
    <s v="15:33:07"/>
    <s v="PID009"/>
    <n v="87.09"/>
    <n v="4"/>
    <s v="FLAT10"/>
    <n v="10"/>
    <n v="5"/>
    <s v="Late_Delivery"/>
    <n v="45"/>
    <n v="6"/>
    <d v="2024-03-17T00:00:00"/>
    <x v="0"/>
    <x v="0"/>
    <s v="15:51:15"/>
    <n v="358.524"/>
    <n v="34.836000000000006"/>
    <n v="313.524"/>
    <n v="348.36"/>
  </r>
  <r>
    <s v="CID161"/>
    <s v="Heather Schneider "/>
    <s v="Heather"/>
    <s v="Schneider"/>
    <n v="48"/>
    <s v="&gt;45"/>
    <x v="1"/>
    <s v="Los Angeles"/>
    <s v="heather.schneider@outlook.com"/>
    <x v="0"/>
    <s v="57940 Susan Creek Apt. 541, Port Aliciamouth, OR 90221"/>
    <s v="OID2767"/>
    <d v="2023-12-23T00:00:00"/>
    <s v="16:58:37"/>
    <s v="PID037"/>
    <n v="77.84"/>
    <n v="4"/>
    <s v="FLAT20"/>
    <n v="20"/>
    <n v="5"/>
    <s v="Before_time"/>
    <n v="55"/>
    <n v="3"/>
    <d v="2023-12-26T00:00:00"/>
    <x v="2"/>
    <x v="7"/>
    <s v="01:05:53"/>
    <n v="304.08800000000002"/>
    <n v="62.272000000000006"/>
    <n v="249.08800000000002"/>
    <n v="311.36"/>
  </r>
  <r>
    <s v="CID146"/>
    <s v="Janice Gordon "/>
    <s v="Janice"/>
    <s v="Gordon"/>
    <n v="43"/>
    <s v="36-45"/>
    <x v="0"/>
    <s v="Houston"/>
    <s v="janice.gordon@yahoo.com"/>
    <x v="3"/>
    <s v="5812 Evelyn Mountains Suite 845, Ortiztown, MN 86166"/>
    <s v="OID8981"/>
    <d v="2023-03-27T00:00:00"/>
    <s v="15:06:44"/>
    <s v="PID037"/>
    <n v="77.84"/>
    <n v="5"/>
    <s v="FLAT10"/>
    <n v="10"/>
    <n v="2"/>
    <s v="Late_Delivery"/>
    <n v="53"/>
    <n v="5"/>
    <d v="2023-04-01T00:00:00"/>
    <x v="2"/>
    <x v="3"/>
    <s v="14:31:29"/>
    <n v="403.28000000000003"/>
    <n v="38.92"/>
    <n v="350.28000000000003"/>
    <n v="389.20000000000005"/>
  </r>
  <r>
    <s v="CID134"/>
    <s v="Debra Hayes "/>
    <s v="Debra"/>
    <s v="Hayes"/>
    <n v="33"/>
    <s v="26-35"/>
    <x v="0"/>
    <s v="San Francisco"/>
    <s v="debra.hayes@yahoo.com"/>
    <x v="3"/>
    <s v="4601 Miller Lock, Williamsbury, IA 10943"/>
    <s v="OID2246"/>
    <d v="2024-08-24T00:00:00"/>
    <s v="05:36:29"/>
    <s v="PID012"/>
    <n v="132.97"/>
    <n v="4"/>
    <s v="DEL0"/>
    <n v="0"/>
    <n v="6"/>
    <s v="Late_Delivery"/>
    <n v="63"/>
    <n v="7"/>
    <d v="2024-08-31T00:00:00"/>
    <x v="0"/>
    <x v="10"/>
    <s v="07:21:52"/>
    <n v="594.88"/>
    <n v="0"/>
    <n v="531.88"/>
    <n v="531.88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1779"/>
    <d v="2024-03-03T00:00:00"/>
    <s v="12:50:57"/>
    <s v="PID008"/>
    <n v="461.07"/>
    <n v="3"/>
    <s v="FLAT15"/>
    <n v="15"/>
    <n v="4"/>
    <s v="Before_time"/>
    <n v="54"/>
    <n v="3"/>
    <d v="2024-03-06T00:00:00"/>
    <x v="0"/>
    <x v="0"/>
    <s v="01:24:34"/>
    <n v="1229.7284999999999"/>
    <n v="207.48150000000001"/>
    <n v="1175.7284999999999"/>
    <n v="1383.21"/>
  </r>
  <r>
    <s v="CID140"/>
    <s v="Beth Mason "/>
    <s v="Beth"/>
    <s v="Mason"/>
    <n v="45"/>
    <s v="36-45"/>
    <x v="2"/>
    <s v="Los Angeles"/>
    <s v="beth.mason@outlook.com"/>
    <x v="0"/>
    <s v="58998 Sherry Haven, East Richard, FL 90775"/>
    <s v="OID2005"/>
    <d v="2024-02-05T00:00:00"/>
    <s v="12:10:00"/>
    <s v="PID015"/>
    <n v="166.28"/>
    <n v="1"/>
    <s v="DEL0"/>
    <n v="0"/>
    <n v="2"/>
    <s v="Before_time"/>
    <n v="38"/>
    <n v="1"/>
    <d v="2024-02-06T00:00:00"/>
    <x v="0"/>
    <x v="1"/>
    <s v="09:31:36"/>
    <n v="204.28"/>
    <n v="0"/>
    <n v="166.28"/>
    <n v="166.28"/>
  </r>
  <r>
    <s v="CID167"/>
    <s v="Diana French "/>
    <s v="Diana"/>
    <s v="French"/>
    <n v="54"/>
    <s v="&gt;45"/>
    <x v="1"/>
    <s v="New York"/>
    <s v="diana.french@outlook.com"/>
    <x v="0"/>
    <s v="163 Jeffrey Drive, South Mary, NH 23999"/>
    <s v="OID6485"/>
    <d v="2024-03-02T00:00:00"/>
    <s v="13:21:50"/>
    <s v="PID006"/>
    <n v="477.52"/>
    <n v="4"/>
    <s v="FLAT10"/>
    <n v="10"/>
    <n v="3"/>
    <s v="Before_time"/>
    <n v="54"/>
    <n v="1"/>
    <d v="2024-03-03T00:00:00"/>
    <x v="0"/>
    <x v="0"/>
    <s v="18:29:46"/>
    <n v="1773.0719999999999"/>
    <n v="191.00799999999998"/>
    <n v="1719.0719999999999"/>
    <n v="1910.08"/>
  </r>
  <r>
    <s v="CID181"/>
    <s v="Alexandra Smith "/>
    <s v="Alexandra"/>
    <s v="Smith"/>
    <n v="70"/>
    <s v="&gt;45"/>
    <x v="0"/>
    <s v="Phoenix"/>
    <s v="alexandra.smith@rediffmail.com"/>
    <x v="1"/>
    <s v="48611 Clark Village, West Anne, GA 92865"/>
    <s v="OID6319"/>
    <d v="2024-04-10T00:00:00"/>
    <s v="18:25:37"/>
    <s v="PID006"/>
    <n v="477.52"/>
    <n v="5"/>
    <s v="FLAT10"/>
    <n v="10"/>
    <n v="7"/>
    <s v="Before_time"/>
    <n v="53"/>
    <n v="2"/>
    <d v="2024-04-12T00:00:00"/>
    <x v="0"/>
    <x v="3"/>
    <s v="09:32:58"/>
    <n v="2201.84"/>
    <n v="238.76"/>
    <n v="2148.84"/>
    <n v="2387.6"/>
  </r>
  <r>
    <s v="CID146"/>
    <s v="Janice Gordon "/>
    <s v="Janice"/>
    <s v="Gordon"/>
    <n v="43"/>
    <s v="36-45"/>
    <x v="0"/>
    <s v="Houston"/>
    <s v="janice.gordon@yahoo.com"/>
    <x v="3"/>
    <s v="5812 Evelyn Mountains Suite 845, Ortiztown, MN 86166"/>
    <s v="OID9461"/>
    <d v="2023-11-29T00:00:00"/>
    <s v="14:34:14"/>
    <s v="PID050"/>
    <n v="158.53"/>
    <n v="2"/>
    <s v="DEL0"/>
    <n v="0"/>
    <n v="5"/>
    <s v="Before_time"/>
    <n v="69"/>
    <n v="2"/>
    <d v="2023-12-01T00:00:00"/>
    <x v="2"/>
    <x v="7"/>
    <s v="17:45:57"/>
    <n v="386.06"/>
    <n v="0"/>
    <n v="317.06"/>
    <n v="317.06"/>
  </r>
  <r>
    <s v="CID168"/>
    <s v="Deborah Bates "/>
    <s v="Deborah"/>
    <s v="Bates"/>
    <n v="23"/>
    <s v="0-25"/>
    <x v="0"/>
    <s v="Los Angeles"/>
    <s v="deborah.bates@yahoo.com"/>
    <x v="3"/>
    <s v="278 Kathy Estate, Saraville, OH 77292"/>
    <s v="OID4522"/>
    <d v="2024-03-22T00:00:00"/>
    <s v="00:44:05"/>
    <s v="PID031"/>
    <n v="405"/>
    <n v="3"/>
    <s v="FLAT10"/>
    <n v="10"/>
    <n v="5"/>
    <s v="Late_Delivery"/>
    <n v="54"/>
    <n v="6"/>
    <d v="2024-03-28T00:00:00"/>
    <x v="0"/>
    <x v="0"/>
    <s v="19:29:03"/>
    <n v="1147.5"/>
    <n v="121.5"/>
    <n v="1093.5"/>
    <n v="1215"/>
  </r>
  <r>
    <s v="CID199"/>
    <s v="Lori Cook "/>
    <s v="Lori"/>
    <s v="Cook"/>
    <n v="18"/>
    <s v="0-25"/>
    <x v="1"/>
    <s v="Houston"/>
    <s v="lori.cook@rediffmail.com"/>
    <x v="1"/>
    <s v="86837 Bell Meadows, North Jasonshire, UT 51354"/>
    <s v="OID9862"/>
    <d v="2024-03-29T00:00:00"/>
    <s v="05:02:45"/>
    <s v="PID002"/>
    <n v="107.47"/>
    <n v="4"/>
    <s v="FLAT10"/>
    <n v="10"/>
    <n v="3"/>
    <s v="Late_Delivery"/>
    <n v="65"/>
    <n v="5"/>
    <d v="2024-04-03T00:00:00"/>
    <x v="0"/>
    <x v="3"/>
    <s v="14:00:57"/>
    <n v="451.892"/>
    <n v="42.988"/>
    <n v="386.892"/>
    <n v="429.88"/>
  </r>
  <r>
    <s v="CID136"/>
    <s v="Brittany Stewart "/>
    <s v="Brittany"/>
    <s v="Stewart"/>
    <n v="68"/>
    <s v="&gt;45"/>
    <x v="2"/>
    <s v="Dallas"/>
    <s v="brittany.stewart@gmail.com"/>
    <x v="2"/>
    <s v="6250 David Loaf Suite 561, North Pamelaberg, WV 63652"/>
    <s v="OID6361"/>
    <d v="2023-05-26T00:00:00"/>
    <s v="16:28:38"/>
    <s v="PID026"/>
    <n v="128.13999999999999"/>
    <n v="3"/>
    <s v="FLAT20"/>
    <n v="20"/>
    <n v="2"/>
    <s v="Late_Delivery"/>
    <n v="59"/>
    <n v="4"/>
    <d v="2023-05-30T00:00:00"/>
    <x v="2"/>
    <x v="2"/>
    <s v="01:06:14"/>
    <n v="366.536"/>
    <n v="76.884"/>
    <n v="307.536"/>
    <n v="384.41999999999996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7238"/>
    <d v="2023-12-30T00:00:00"/>
    <s v="08:22:36"/>
    <s v="PID003"/>
    <n v="20.7"/>
    <n v="1"/>
    <s v="FLAT10"/>
    <n v="10"/>
    <n v="5"/>
    <s v="Before_time"/>
    <n v="55"/>
    <n v="1"/>
    <d v="2023-12-31T00:00:00"/>
    <x v="2"/>
    <x v="7"/>
    <s v="07:46:17"/>
    <n v="73.63"/>
    <n v="2.0699999999999998"/>
    <n v="18.63"/>
    <n v="20.7"/>
  </r>
  <r>
    <s v="CID147"/>
    <s v="Mallory Mitchell "/>
    <s v="Mallory"/>
    <s v="Mitchell"/>
    <n v="42"/>
    <s v="36-45"/>
    <x v="1"/>
    <s v="San Francisco"/>
    <s v="mallory.mitchell@yahoo.com"/>
    <x v="3"/>
    <s v="710 Anthony Wall Suite 137, East Davidstad, NV 61494"/>
    <s v="OID8446"/>
    <d v="2023-07-21T00:00:00"/>
    <s v="02:53:11"/>
    <s v="PID018"/>
    <n v="62.42"/>
    <n v="3"/>
    <s v="FLAT8"/>
    <n v="8"/>
    <n v="6"/>
    <s v="Before_time"/>
    <n v="39"/>
    <n v="1"/>
    <d v="2023-07-22T00:00:00"/>
    <x v="2"/>
    <x v="9"/>
    <s v="03:53:13"/>
    <n v="211.2792"/>
    <n v="14.980799999999999"/>
    <n v="172.2792"/>
    <n v="187.26"/>
  </r>
  <r>
    <s v="CID128"/>
    <s v="Traci Jones "/>
    <s v="Traci"/>
    <s v="Jones"/>
    <n v="34"/>
    <s v="26-35"/>
    <x v="0"/>
    <s v="Los Angeles"/>
    <s v="traci.jones@yahoo.com"/>
    <x v="3"/>
    <s v="4016 Ryan Passage, Collinsside, PA 88777"/>
    <s v="OID9459"/>
    <d v="2023-12-23T00:00:00"/>
    <s v="08:17:07"/>
    <s v="PID027"/>
    <n v="481.48"/>
    <n v="1"/>
    <s v="FLAT8"/>
    <n v="8"/>
    <n v="5"/>
    <s v="Before_time"/>
    <n v="70"/>
    <n v="4"/>
    <d v="2023-12-27T00:00:00"/>
    <x v="2"/>
    <x v="7"/>
    <s v="07:01:18"/>
    <n v="512.96160000000009"/>
    <n v="38.5184"/>
    <n v="442.96160000000003"/>
    <n v="481.48"/>
  </r>
  <r>
    <s v="CID155"/>
    <s v="Courtney Parker "/>
    <s v="Courtney"/>
    <s v="Parker"/>
    <n v="29"/>
    <s v="26-35"/>
    <x v="2"/>
    <s v="Los Angeles"/>
    <s v="courtney.parker@yahoo.com"/>
    <x v="3"/>
    <s v="087 Jacqueline Rue Apt. 694, East Tasha, SC 04859"/>
    <s v="OID6433"/>
    <d v="2024-12-07T00:00:00"/>
    <s v="01:02:33"/>
    <s v="PID022"/>
    <n v="308.88"/>
    <n v="3"/>
    <s v="FLAT20"/>
    <n v="20"/>
    <n v="5"/>
    <s v="Before_time"/>
    <n v="68"/>
    <n v="3"/>
    <d v="2024-12-10T00:00:00"/>
    <x v="0"/>
    <x v="7"/>
    <s v="03:31:58"/>
    <n v="809.31200000000001"/>
    <n v="185.328"/>
    <n v="741.31200000000001"/>
    <n v="926.64"/>
  </r>
  <r>
    <s v="CID117"/>
    <s v="Hannah Gutierrez "/>
    <s v="Hannah"/>
    <s v="Gutierrez"/>
    <n v="55"/>
    <s v="&gt;45"/>
    <x v="1"/>
    <s v="Chicago"/>
    <s v="hannah.gutierrez@yahoo.com"/>
    <x v="3"/>
    <s v="2420 David Manors, Jessicaland, CT 41698"/>
    <s v="OID3128"/>
    <d v="2024-03-05T00:00:00"/>
    <s v="22:17:42"/>
    <s v="PID033"/>
    <n v="48.45"/>
    <n v="3"/>
    <s v="FLAT20"/>
    <n v="20"/>
    <n v="6"/>
    <s v="Before_time"/>
    <n v="43"/>
    <n v="2"/>
    <d v="2024-03-07T00:00:00"/>
    <x v="0"/>
    <x v="0"/>
    <s v="09:42:50"/>
    <n v="159.28000000000003"/>
    <n v="29.070000000000004"/>
    <n v="116.28000000000003"/>
    <n v="145.35000000000002"/>
  </r>
  <r>
    <s v="CID105"/>
    <s v="Joseph Stewart "/>
    <s v="Joseph"/>
    <s v="Stewart"/>
    <n v="30"/>
    <s v="26-35"/>
    <x v="1"/>
    <s v="Houston"/>
    <s v="joseph.stewart@yahoo.com"/>
    <x v="3"/>
    <s v="4082 Wang Terrace Suite 040, Victorialand, ME 41532"/>
    <s v="OID8972"/>
    <d v="2023-09-19T00:00:00"/>
    <s v="07:36:32"/>
    <s v="PID002"/>
    <n v="107.47"/>
    <n v="4"/>
    <s v="FLAT8"/>
    <n v="8"/>
    <n v="2"/>
    <s v="Late_Delivery"/>
    <n v="35"/>
    <n v="3"/>
    <d v="2023-09-22T00:00:00"/>
    <x v="2"/>
    <x v="4"/>
    <s v="09:34:23"/>
    <n v="430.4896"/>
    <n v="34.3904"/>
    <n v="395.4896"/>
    <n v="429.88"/>
  </r>
  <r>
    <s v="CID184"/>
    <s v="Aaron Thompson "/>
    <s v="Aaron"/>
    <s v="Thompson"/>
    <n v="47"/>
    <s v="&gt;45"/>
    <x v="1"/>
    <s v="Los Angeles"/>
    <s v="aaron.thompson@gmail.com"/>
    <x v="2"/>
    <s v="PSC 0550, Box 2737, APO AE 75772"/>
    <s v="OID5970"/>
    <d v="2025-01-24T00:00:00"/>
    <s v="07:39:59"/>
    <s v="PID049"/>
    <n v="441.03"/>
    <n v="5"/>
    <s v="FLAT8"/>
    <n v="8"/>
    <n v="5"/>
    <s v="Before_time"/>
    <n v="62"/>
    <n v="1"/>
    <d v="2025-01-25T00:00:00"/>
    <x v="1"/>
    <x v="5"/>
    <s v="04:52:06"/>
    <n v="2090.7379999999998"/>
    <n v="176.41199999999998"/>
    <n v="2028.7379999999998"/>
    <n v="2205.1499999999996"/>
  </r>
  <r>
    <s v="CID145"/>
    <s v="Ashley Romero "/>
    <s v="Ashley"/>
    <s v="Romero"/>
    <n v="35"/>
    <s v="26-35"/>
    <x v="0"/>
    <s v="Phoenix"/>
    <s v="ashley.romero@yahoo.com"/>
    <x v="3"/>
    <s v="547 Kerry Expressway, Lake Amanda, AR 20321"/>
    <s v="OID3491"/>
    <d v="2023-03-22T00:00:00"/>
    <s v="18:04:56"/>
    <s v="PID045"/>
    <n v="33.49"/>
    <n v="4"/>
    <s v="FLAT20"/>
    <n v="20"/>
    <n v="7"/>
    <s v="Before_time"/>
    <n v="54"/>
    <n v="1"/>
    <d v="2023-03-23T00:00:00"/>
    <x v="2"/>
    <x v="0"/>
    <s v="06:42:40"/>
    <n v="161.16800000000001"/>
    <n v="26.792000000000002"/>
    <n v="107.16800000000001"/>
    <n v="133.96"/>
  </r>
  <r>
    <s v="CID156"/>
    <s v="Gregory Lee "/>
    <s v="Gregory"/>
    <s v="Lee"/>
    <n v="26"/>
    <s v="26-35"/>
    <x v="2"/>
    <s v="New York"/>
    <s v="gregory.lee@rediffmail.com"/>
    <x v="1"/>
    <s v="619 Parker Turnpike Apt. 025, West Brucehaven, ID 48437"/>
    <s v="OID6651"/>
    <d v="2023-10-05T00:00:00"/>
    <s v="03:18:41"/>
    <s v="PID045"/>
    <n v="33.49"/>
    <n v="1"/>
    <s v="FLAT15"/>
    <n v="15"/>
    <n v="4"/>
    <s v="Before_time"/>
    <n v="44"/>
    <n v="2"/>
    <d v="2023-10-07T00:00:00"/>
    <x v="2"/>
    <x v="8"/>
    <s v="01:31:23"/>
    <n v="72.466499999999996"/>
    <n v="5.0235000000000003"/>
    <n v="28.4665"/>
    <n v="33.49"/>
  </r>
  <r>
    <s v="CID136"/>
    <s v="Brittany Stewart "/>
    <s v="Brittany"/>
    <s v="Stewart"/>
    <n v="68"/>
    <s v="&gt;45"/>
    <x v="2"/>
    <s v="Dallas"/>
    <s v="brittany.stewart@gmail.com"/>
    <x v="2"/>
    <s v="6250 David Loaf Suite 561, North Pamelaberg, WV 63652"/>
    <s v="OID2861"/>
    <d v="2024-10-25T00:00:00"/>
    <s v="20:38:05"/>
    <s v="PID018"/>
    <n v="62.42"/>
    <n v="4"/>
    <s v="DEL0"/>
    <n v="0"/>
    <n v="4"/>
    <s v="Late_Delivery"/>
    <n v="37"/>
    <n v="7"/>
    <d v="2024-11-01T00:00:00"/>
    <x v="0"/>
    <x v="11"/>
    <s v="02:58:16"/>
    <n v="286.68"/>
    <n v="0"/>
    <n v="249.68"/>
    <n v="249.68"/>
  </r>
  <r>
    <s v="CID169"/>
    <s v="Robert Castillo "/>
    <s v="Robert"/>
    <s v="Castillo"/>
    <n v="32"/>
    <s v="26-35"/>
    <x v="1"/>
    <s v="San Francisco"/>
    <s v="robert.castillo@gmail.com"/>
    <x v="2"/>
    <s v="7143 Brandon Skyway Suite 899, Tylerton, IA 21756"/>
    <s v="OID3302"/>
    <d v="2023-10-18T00:00:00"/>
    <s v="08:32:59"/>
    <s v="PID021"/>
    <n v="129.75"/>
    <n v="1"/>
    <s v="FLAT8"/>
    <n v="8"/>
    <n v="7"/>
    <s v="Before_time"/>
    <n v="56"/>
    <n v="2"/>
    <d v="2023-10-20T00:00:00"/>
    <x v="2"/>
    <x v="8"/>
    <s v="03:32:40"/>
    <n v="175.37"/>
    <n v="10.38"/>
    <n v="119.37"/>
    <n v="129.75"/>
  </r>
  <r>
    <s v="CID137"/>
    <s v="Gina Moreno "/>
    <s v="Gina"/>
    <s v="Moreno"/>
    <n v="36"/>
    <s v="36-45"/>
    <x v="2"/>
    <s v="Miami"/>
    <s v="gina.moreno@rediffmail.com"/>
    <x v="1"/>
    <s v="USS Murray, FPO AP 66559"/>
    <s v="OID9922"/>
    <d v="2023-09-13T00:00:00"/>
    <s v="12:42:28"/>
    <s v="PID003"/>
    <n v="20.7"/>
    <n v="4"/>
    <s v="FLAT20"/>
    <n v="20"/>
    <n v="1"/>
    <s v="Late_Delivery"/>
    <n v="61"/>
    <n v="2"/>
    <d v="2023-09-15T00:00:00"/>
    <x v="2"/>
    <x v="4"/>
    <s v="16:13:49"/>
    <n v="127.24"/>
    <n v="16.559999999999999"/>
    <n v="66.239999999999995"/>
    <n v="82.8"/>
  </r>
  <r>
    <s v="CID172"/>
    <s v="Kara Brennan "/>
    <s v="Kara"/>
    <s v="Brennan"/>
    <n v="25"/>
    <s v="0-25"/>
    <x v="2"/>
    <s v="Miami"/>
    <s v="kara.brennan@outlook.com"/>
    <x v="0"/>
    <s v="2174 Thomas Avenue, Maciasborough, NJ 41465"/>
    <s v="OID4613"/>
    <d v="2023-06-30T00:00:00"/>
    <s v="10:24:01"/>
    <s v="PID039"/>
    <n v="220.27"/>
    <n v="3"/>
    <s v="DEL0"/>
    <n v="0"/>
    <n v="4"/>
    <s v="Before_time"/>
    <n v="50"/>
    <n v="1"/>
    <d v="2023-07-01T00:00:00"/>
    <x v="2"/>
    <x v="9"/>
    <s v="06:25:35"/>
    <n v="710.81000000000006"/>
    <n v="0"/>
    <n v="660.81000000000006"/>
    <n v="660.81000000000006"/>
  </r>
  <r>
    <s v="CID163"/>
    <s v="Mark Henderson "/>
    <s v="Mark"/>
    <s v="Henderson"/>
    <n v="33"/>
    <s v="26-35"/>
    <x v="2"/>
    <s v="Dallas"/>
    <s v="mark.henderson@yahoo.com"/>
    <x v="3"/>
    <s v="90155 Hines Spring, North Theresafurt, ME 31920"/>
    <s v="OID7483"/>
    <d v="2023-04-16T00:00:00"/>
    <s v="12:19:38"/>
    <s v="PID035"/>
    <n v="433.62"/>
    <n v="2"/>
    <s v="FLAT8"/>
    <n v="8"/>
    <n v="7"/>
    <s v="On_time"/>
    <n v="56"/>
    <n v="7"/>
    <d v="2023-04-23T00:00:00"/>
    <x v="2"/>
    <x v="3"/>
    <s v="00:24:54"/>
    <n v="853.86080000000004"/>
    <n v="69.379199999999997"/>
    <n v="797.86080000000004"/>
    <n v="867.24"/>
  </r>
  <r>
    <s v="CID110"/>
    <s v="Katie Hicks "/>
    <s v="Katie"/>
    <s v="Hicks"/>
    <n v="34"/>
    <s v="26-35"/>
    <x v="2"/>
    <s v="Chicago"/>
    <s v="katie.hicks@rediffmail.com"/>
    <x v="1"/>
    <s v="848 William Port, New Marilyn, SD 58000"/>
    <s v="OID7418"/>
    <d v="2024-07-17T00:00:00"/>
    <s v="01:15:18"/>
    <s v="PID026"/>
    <n v="128.13999999999999"/>
    <n v="3"/>
    <s v="FLAT8"/>
    <n v="8"/>
    <n v="5"/>
    <s v="On_time"/>
    <n v="49"/>
    <n v="5"/>
    <d v="2024-07-22T00:00:00"/>
    <x v="0"/>
    <x v="9"/>
    <s v="16:11:48"/>
    <n v="402.66639999999995"/>
    <n v="30.753599999999995"/>
    <n v="353.66639999999995"/>
    <n v="384.41999999999996"/>
  </r>
  <r>
    <s v="CID167"/>
    <s v="Diana French "/>
    <s v="Diana"/>
    <s v="French"/>
    <n v="54"/>
    <s v="&gt;45"/>
    <x v="1"/>
    <s v="New York"/>
    <s v="diana.french@outlook.com"/>
    <x v="0"/>
    <s v="163 Jeffrey Drive, South Mary, NH 23999"/>
    <s v="OID3361"/>
    <d v="2024-03-30T00:00:00"/>
    <s v="09:50:05"/>
    <s v="PID014"/>
    <n v="272.51"/>
    <n v="5"/>
    <s v="DEL0"/>
    <n v="0"/>
    <n v="3"/>
    <s v="Late_Delivery"/>
    <n v="66"/>
    <n v="7"/>
    <d v="2024-04-06T00:00:00"/>
    <x v="0"/>
    <x v="3"/>
    <s v="23:38:57"/>
    <n v="1428.55"/>
    <n v="0"/>
    <n v="1362.55"/>
    <n v="1362.55"/>
  </r>
  <r>
    <s v="CID135"/>
    <s v="Amanda Howard "/>
    <s v="Amanda"/>
    <s v="Howard"/>
    <n v="52"/>
    <s v="&gt;45"/>
    <x v="2"/>
    <s v="Dallas"/>
    <s v="amanda.howard@outlook.com"/>
    <x v="0"/>
    <s v="56908 Sydney Park Suite 632, West Anthonyport, NC 15954"/>
    <s v="OID7475"/>
    <d v="2024-06-29T00:00:00"/>
    <s v="08:30:03"/>
    <s v="PID032"/>
    <n v="424.82"/>
    <n v="2"/>
    <s v="DEL0"/>
    <n v="0"/>
    <n v="6"/>
    <s v="Before_time"/>
    <n v="63"/>
    <n v="5"/>
    <d v="2024-07-04T00:00:00"/>
    <x v="0"/>
    <x v="9"/>
    <s v="17:07:47"/>
    <n v="912.64"/>
    <n v="0"/>
    <n v="849.64"/>
    <n v="849.64"/>
  </r>
  <r>
    <s v="CID158"/>
    <s v="Angela Evans "/>
    <s v="Angela"/>
    <s v="Evans"/>
    <n v="52"/>
    <s v="&gt;45"/>
    <x v="2"/>
    <s v="Houston"/>
    <s v="angela.evans@outlook.com"/>
    <x v="0"/>
    <s v="16031 David Mountain Suite 431, Susanborough, PA 01910"/>
    <s v="OID6847"/>
    <d v="2024-07-28T00:00:00"/>
    <s v="17:02:09"/>
    <s v="PID010"/>
    <n v="44.5"/>
    <n v="4"/>
    <s v="DEL0"/>
    <n v="0"/>
    <n v="3"/>
    <s v="On_time"/>
    <n v="45"/>
    <n v="3"/>
    <d v="2024-07-31T00:00:00"/>
    <x v="0"/>
    <x v="9"/>
    <s v="05:55:32"/>
    <n v="223"/>
    <n v="0"/>
    <n v="178"/>
    <n v="1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s v="CID186"/>
    <x v="0"/>
    <s v="Anne"/>
    <s v="Oconnell"/>
    <n v="37"/>
    <x v="0"/>
    <x v="0"/>
    <s v="anne.oconnell@outlook.com"/>
    <s v="2850 Matthew Ford, North Yolandachester, FL 67488"/>
    <x v="0"/>
    <d v="2024-03-07T00:00:00"/>
    <s v="18:16:33"/>
    <x v="0"/>
    <n v="308.88"/>
    <n v="5"/>
    <x v="0"/>
    <x v="0"/>
    <n v="4"/>
    <s v="Before_time"/>
    <n v="60"/>
    <n v="3"/>
    <d v="2024-03-10T00:00:00"/>
    <s v="08:51:31"/>
    <m/>
    <n v="1480.8480000000002"/>
    <n v="123.55200000000001"/>
    <n v="1420.8480000000002"/>
    <n v="1544.4"/>
  </r>
  <r>
    <s v="CID150"/>
    <x v="1"/>
    <s v="Anthony"/>
    <s v="Thomas"/>
    <n v="53"/>
    <x v="1"/>
    <x v="1"/>
    <s v="anthony.thomas@rediffmail.com"/>
    <s v="931 Christopher Ways Suite 833, North Michelle, IN 53484"/>
    <x v="1"/>
    <d v="2024-03-27T00:00:00"/>
    <s v="01:46:33"/>
    <x v="1"/>
    <n v="166.28"/>
    <n v="4"/>
    <x v="0"/>
    <x v="0"/>
    <n v="7"/>
    <s v="Before_time"/>
    <n v="66"/>
    <n v="3"/>
    <d v="2024-03-30T00:00:00"/>
    <s v="18:46:26"/>
    <m/>
    <n v="677.91039999999998"/>
    <n v="53.209600000000002"/>
    <n v="611.91039999999998"/>
    <n v="665.12"/>
  </r>
  <r>
    <s v="CID115"/>
    <x v="2"/>
    <s v="Karl"/>
    <s v="Gallagher"/>
    <n v="60"/>
    <x v="2"/>
    <x v="0"/>
    <s v="karl.gallagher@rediffmail.com"/>
    <s v="5016 Snow Mountains Apt. 063, New Seanport, WY 41492"/>
    <x v="2"/>
    <d v="2024-02-20T00:00:00"/>
    <s v="07:31:36"/>
    <x v="2"/>
    <n v="202.54"/>
    <n v="1"/>
    <x v="1"/>
    <x v="1"/>
    <n v="3"/>
    <s v="Before_time"/>
    <n v="47"/>
    <n v="2"/>
    <d v="2024-02-22T00:00:00"/>
    <s v="14:29:50"/>
    <m/>
    <n v="219.15899999999999"/>
    <n v="30.381"/>
    <n v="172.15899999999999"/>
    <n v="202.54"/>
  </r>
  <r>
    <s v="CID115"/>
    <x v="2"/>
    <s v="Karl"/>
    <s v="Gallagher"/>
    <n v="60"/>
    <x v="2"/>
    <x v="0"/>
    <s v="karl.gallagher@rediffmail.com"/>
    <s v="5016 Snow Mountains Apt. 063, New Seanport, WY 41492"/>
    <x v="3"/>
    <d v="2024-05-14T00:00:00"/>
    <s v="18:29:21"/>
    <x v="3"/>
    <n v="405"/>
    <n v="5"/>
    <x v="2"/>
    <x v="2"/>
    <n v="6"/>
    <s v="Before_time"/>
    <n v="47"/>
    <n v="4"/>
    <d v="2024-05-18T00:00:00"/>
    <s v="07:00:32"/>
    <m/>
    <n v="2072"/>
    <n v="0"/>
    <n v="2025"/>
    <n v="2025"/>
  </r>
  <r>
    <s v="CID149"/>
    <x v="3"/>
    <s v="Angela"/>
    <s v="Horne"/>
    <n v="49"/>
    <x v="2"/>
    <x v="0"/>
    <s v="angela.horne@outlook.com"/>
    <s v="USNV Mueller, FPO AP 54648"/>
    <x v="4"/>
    <d v="2024-04-09T00:00:00"/>
    <s v="03:23:21"/>
    <x v="1"/>
    <n v="166.28"/>
    <n v="1"/>
    <x v="0"/>
    <x v="0"/>
    <n v="2"/>
    <s v="Late_Delivery"/>
    <n v="54"/>
    <n v="4"/>
    <d v="2024-04-13T00:00:00"/>
    <s v="22:10:58"/>
    <m/>
    <n v="206.9776"/>
    <n v="13.3024"/>
    <n v="152.9776"/>
    <n v="166.28"/>
  </r>
  <r>
    <s v="CID159"/>
    <x v="4"/>
    <s v="Christine"/>
    <s v="West"/>
    <n v="53"/>
    <x v="2"/>
    <x v="2"/>
    <s v="christine.west@gmail.com"/>
    <s v="Unit 1433 Box 0246, DPO AP 94952"/>
    <x v="5"/>
    <d v="2024-09-08T00:00:00"/>
    <s v="16:55:06"/>
    <x v="4"/>
    <n v="330.11"/>
    <n v="4"/>
    <x v="1"/>
    <x v="1"/>
    <n v="6"/>
    <s v="Before_time"/>
    <n v="39"/>
    <n v="4"/>
    <d v="2024-09-12T00:00:00"/>
    <s v="11:25:50"/>
    <m/>
    <n v="1161.374"/>
    <n v="198.06600000000003"/>
    <n v="1122.374"/>
    <n v="1320.44"/>
  </r>
  <r>
    <s v="CID115"/>
    <x v="2"/>
    <s v="Karl"/>
    <s v="Gallagher"/>
    <n v="60"/>
    <x v="2"/>
    <x v="0"/>
    <s v="karl.gallagher@rediffmail.com"/>
    <s v="5016 Snow Mountains Apt. 063, New Seanport, WY 41492"/>
    <x v="6"/>
    <d v="2025-01-05T00:00:00"/>
    <s v="09:47:21"/>
    <x v="0"/>
    <n v="308.88"/>
    <n v="5"/>
    <x v="3"/>
    <x v="3"/>
    <n v="5"/>
    <s v="Before_time"/>
    <n v="47"/>
    <n v="3"/>
    <d v="2025-01-08T00:00:00"/>
    <s v="20:10:50"/>
    <m/>
    <n v="1282.5200000000002"/>
    <n v="308.88"/>
    <n v="1235.5200000000002"/>
    <n v="1544.4"/>
  </r>
  <r>
    <s v="CID198"/>
    <x v="5"/>
    <s v="David"/>
    <s v="Delacruz"/>
    <n v="26"/>
    <x v="1"/>
    <x v="3"/>
    <s v="david.delacruz@rediffmail.com"/>
    <s v="USNS Ray, FPO AE 20238"/>
    <x v="7"/>
    <d v="2024-06-16T00:00:00"/>
    <s v="19:27:45"/>
    <x v="5"/>
    <n v="363.64"/>
    <n v="3"/>
    <x v="4"/>
    <x v="4"/>
    <n v="2"/>
    <s v="Late_Delivery"/>
    <n v="70"/>
    <n v="5"/>
    <d v="2024-06-21T00:00:00"/>
    <s v="12:36:32"/>
    <m/>
    <n v="1051.828"/>
    <n v="109.09200000000001"/>
    <n v="981.82800000000009"/>
    <n v="1090.92"/>
  </r>
  <r>
    <s v="CID152"/>
    <x v="6"/>
    <s v="Marcus"/>
    <s v="Valenzuela"/>
    <n v="39"/>
    <x v="0"/>
    <x v="0"/>
    <s v="marcus.valenzuela@yahoo.com"/>
    <s v="694 Graham Prairie Apt. 887, Jimenezfurt, MI 33044"/>
    <x v="8"/>
    <d v="2023-04-24T00:00:00"/>
    <s v="12:07:00"/>
    <x v="6"/>
    <n v="275.44"/>
    <n v="1"/>
    <x v="0"/>
    <x v="0"/>
    <n v="7"/>
    <s v="Before_time"/>
    <n v="63"/>
    <n v="2"/>
    <d v="2023-04-26T00:00:00"/>
    <s v="23:05:41"/>
    <m/>
    <n v="316.40480000000002"/>
    <n v="22.0352"/>
    <n v="253.40480000000002"/>
    <n v="275.44"/>
  </r>
  <r>
    <s v="CID130"/>
    <x v="7"/>
    <s v="Debra"/>
    <s v="Rodriguez"/>
    <n v="48"/>
    <x v="2"/>
    <x v="1"/>
    <s v="debra.rodriguez@rediffmail.com"/>
    <s v="Unit 5964 Box 0721, DPO AP 01840"/>
    <x v="9"/>
    <d v="2023-12-22T00:00:00"/>
    <s v="13:46:47"/>
    <x v="7"/>
    <n v="48.45"/>
    <n v="1"/>
    <x v="1"/>
    <x v="1"/>
    <n v="7"/>
    <s v="Before_time"/>
    <n v="59"/>
    <n v="5"/>
    <d v="2023-12-27T00:00:00"/>
    <s v="19:57:06"/>
    <m/>
    <n v="100.1825"/>
    <n v="7.2675000000000001"/>
    <n v="41.182500000000005"/>
    <n v="48.45"/>
  </r>
  <r>
    <s v="CID115"/>
    <x v="2"/>
    <s v="Karl"/>
    <s v="Gallagher"/>
    <n v="60"/>
    <x v="2"/>
    <x v="0"/>
    <s v="karl.gallagher@rediffmail.com"/>
    <s v="5016 Snow Mountains Apt. 063, New Seanport, WY 41492"/>
    <x v="10"/>
    <d v="2024-10-23T00:00:00"/>
    <s v="17:21:43"/>
    <x v="5"/>
    <n v="363.64"/>
    <n v="4"/>
    <x v="2"/>
    <x v="2"/>
    <n v="2"/>
    <s v="On_time"/>
    <n v="35"/>
    <n v="2"/>
    <d v="2024-10-25T00:00:00"/>
    <s v="08:00:35"/>
    <m/>
    <n v="1489.56"/>
    <n v="0"/>
    <n v="1454.56"/>
    <n v="1454.56"/>
  </r>
  <r>
    <s v="CID101"/>
    <x v="8"/>
    <s v="Bobby"/>
    <s v="Forbes"/>
    <n v="20"/>
    <x v="0"/>
    <x v="3"/>
    <s v="bobby.forbes@gmail.com"/>
    <s v="3079 John Parkway Suite 961, Port Kristaview, MT 91019"/>
    <x v="11"/>
    <d v="2024-07-25T00:00:00"/>
    <s v="15:09:49"/>
    <x v="8"/>
    <n v="257.06"/>
    <n v="3"/>
    <x v="2"/>
    <x v="2"/>
    <n v="7"/>
    <s v="Before_time"/>
    <n v="62"/>
    <n v="1"/>
    <d v="2024-07-26T00:00:00"/>
    <s v="22:54:40"/>
    <m/>
    <n v="833.18000000000006"/>
    <n v="0"/>
    <n v="771.18000000000006"/>
    <n v="771.18000000000006"/>
  </r>
  <r>
    <s v="CID105"/>
    <x v="9"/>
    <s v="Joseph"/>
    <s v="Stewart"/>
    <n v="30"/>
    <x v="1"/>
    <x v="1"/>
    <s v="joseph.stewart@yahoo.com"/>
    <s v="4082 Wang Terrace Suite 040, Victorialand, ME 41532"/>
    <x v="12"/>
    <d v="2023-03-12T00:00:00"/>
    <s v="22:42:51"/>
    <x v="9"/>
    <n v="175.93"/>
    <n v="4"/>
    <x v="0"/>
    <x v="0"/>
    <n v="3"/>
    <s v="Before_time"/>
    <n v="65"/>
    <n v="2"/>
    <d v="2023-03-14T00:00:00"/>
    <s v="13:19:45"/>
    <m/>
    <n v="712.42240000000004"/>
    <n v="56.297600000000003"/>
    <n v="647.42240000000004"/>
    <n v="703.72"/>
  </r>
  <r>
    <s v="CID172"/>
    <x v="10"/>
    <s v="Kara"/>
    <s v="Brennan"/>
    <n v="25"/>
    <x v="2"/>
    <x v="4"/>
    <s v="kara.brennan@outlook.com"/>
    <s v="2174 Thomas Avenue, Maciasborough, NJ 41465"/>
    <x v="13"/>
    <d v="2023-12-07T00:00:00"/>
    <s v="14:52:54"/>
    <x v="10"/>
    <n v="190.1"/>
    <n v="1"/>
    <x v="2"/>
    <x v="2"/>
    <n v="1"/>
    <s v="Late_Delivery"/>
    <n v="70"/>
    <n v="3"/>
    <d v="2023-12-10T00:00:00"/>
    <s v="15:16:54"/>
    <m/>
    <n v="260.10000000000002"/>
    <n v="0"/>
    <n v="190.1"/>
    <n v="190.1"/>
  </r>
  <r>
    <s v="CID178"/>
    <x v="11"/>
    <s v="Amy"/>
    <s v="Reid"/>
    <n v="44"/>
    <x v="1"/>
    <x v="3"/>
    <s v="amy.reid@rediffmail.com"/>
    <s v="6262 Simpson Village, North Danielle, RI 76074"/>
    <x v="14"/>
    <d v="2024-03-26T00:00:00"/>
    <s v="01:19:56"/>
    <x v="11"/>
    <n v="220.27"/>
    <n v="2"/>
    <x v="2"/>
    <x v="2"/>
    <n v="3"/>
    <s v="Late_Delivery"/>
    <n v="39"/>
    <n v="5"/>
    <d v="2024-03-31T00:00:00"/>
    <s v="21:47:03"/>
    <m/>
    <n v="479.54"/>
    <n v="0"/>
    <n v="440.54"/>
    <n v="440.54"/>
  </r>
  <r>
    <s v="CID176"/>
    <x v="12"/>
    <s v="Joshua"/>
    <s v="Campbell"/>
    <n v="24"/>
    <x v="0"/>
    <x v="5"/>
    <s v="joshua.campbell@gmail.com"/>
    <s v="70426 Lindsey Overpass Apt. 030, Jessicafurt, AR 46269"/>
    <x v="15"/>
    <d v="2023-06-02T00:00:00"/>
    <s v="04:13:27"/>
    <x v="4"/>
    <n v="330.11"/>
    <n v="4"/>
    <x v="2"/>
    <x v="2"/>
    <n v="1"/>
    <s v="On_time"/>
    <n v="58"/>
    <n v="1"/>
    <d v="2023-06-03T00:00:00"/>
    <s v="11:25:46"/>
    <m/>
    <n v="1378.44"/>
    <n v="0"/>
    <n v="1320.44"/>
    <n v="1320.44"/>
  </r>
  <r>
    <s v="CID148"/>
    <x v="13"/>
    <s v="Erin"/>
    <s v="Miller"/>
    <n v="46"/>
    <x v="0"/>
    <x v="6"/>
    <s v="erin.miller@gmail.com"/>
    <s v="65972 Peterson Route, Port Andrewfurt, SD 32892"/>
    <x v="16"/>
    <d v="2023-02-09T00:00:00"/>
    <s v="23:53:21"/>
    <x v="12"/>
    <n v="272.51"/>
    <n v="4"/>
    <x v="4"/>
    <x v="4"/>
    <n v="5"/>
    <s v="Before_time"/>
    <n v="40"/>
    <n v="4"/>
    <d v="2023-02-13T00:00:00"/>
    <s v="12:55:59"/>
    <m/>
    <n v="1021.0359999999999"/>
    <n v="109.00399999999999"/>
    <n v="981.03599999999994"/>
    <n v="1090.04"/>
  </r>
  <r>
    <s v="CID137"/>
    <x v="14"/>
    <s v="Gina"/>
    <s v="Moreno"/>
    <n v="36"/>
    <x v="2"/>
    <x v="4"/>
    <s v="gina.moreno@rediffmail.com"/>
    <s v="USS Murray, FPO AP 66559"/>
    <x v="17"/>
    <d v="2024-09-07T00:00:00"/>
    <s v="19:16:28"/>
    <x v="13"/>
    <n v="104.18"/>
    <n v="2"/>
    <x v="2"/>
    <x v="2"/>
    <n v="4"/>
    <s v="Before_time"/>
    <n v="44"/>
    <n v="3"/>
    <d v="2024-09-10T00:00:00"/>
    <s v="03:46:23"/>
    <m/>
    <n v="252.36"/>
    <n v="0"/>
    <n v="208.36"/>
    <n v="208.36"/>
  </r>
  <r>
    <s v="CID147"/>
    <x v="15"/>
    <s v="Mallory"/>
    <s v="Mitchell"/>
    <n v="42"/>
    <x v="1"/>
    <x v="6"/>
    <s v="mallory.mitchell@yahoo.com"/>
    <s v="710 Anthony Wall Suite 137, East Davidstad, NV 61494"/>
    <x v="18"/>
    <d v="2025-01-08T00:00:00"/>
    <s v="11:48:17"/>
    <x v="7"/>
    <n v="48.45"/>
    <n v="4"/>
    <x v="4"/>
    <x v="4"/>
    <n v="1"/>
    <s v="Late_Delivery"/>
    <n v="70"/>
    <n v="5"/>
    <d v="2025-01-13T00:00:00"/>
    <s v="10:08:54"/>
    <m/>
    <n v="244.42000000000002"/>
    <n v="19.38"/>
    <n v="174.42000000000002"/>
    <n v="193.8"/>
  </r>
  <r>
    <s v="CID128"/>
    <x v="16"/>
    <s v="Traci"/>
    <s v="Jones"/>
    <n v="34"/>
    <x v="0"/>
    <x v="3"/>
    <s v="traci.jones@yahoo.com"/>
    <s v="4016 Ryan Passage, Collinsside, PA 88777"/>
    <x v="19"/>
    <d v="2024-09-21T00:00:00"/>
    <s v="06:34:00"/>
    <x v="14"/>
    <n v="20.7"/>
    <n v="5"/>
    <x v="2"/>
    <x v="2"/>
    <n v="7"/>
    <s v="Before_time"/>
    <n v="38"/>
    <n v="5"/>
    <d v="2024-09-26T00:00:00"/>
    <s v="14:05:20"/>
    <m/>
    <n v="141.5"/>
    <n v="0"/>
    <n v="103.5"/>
    <n v="103.5"/>
  </r>
  <r>
    <s v="CID168"/>
    <x v="17"/>
    <s v="Deborah"/>
    <s v="Bates"/>
    <n v="23"/>
    <x v="0"/>
    <x v="3"/>
    <s v="deborah.bates@yahoo.com"/>
    <s v="278 Kathy Estate, Saraville, OH 77292"/>
    <x v="20"/>
    <d v="2024-08-16T00:00:00"/>
    <s v="04:06:55"/>
    <x v="0"/>
    <n v="308.88"/>
    <n v="3"/>
    <x v="4"/>
    <x v="4"/>
    <n v="7"/>
    <s v="Before_time"/>
    <n v="43"/>
    <n v="1"/>
    <d v="2024-08-17T00:00:00"/>
    <s v="13:39:21"/>
    <m/>
    <n v="876.976"/>
    <n v="92.664000000000001"/>
    <n v="833.976"/>
    <n v="926.64"/>
  </r>
  <r>
    <s v="CID179"/>
    <x v="18"/>
    <s v="Christian"/>
    <s v="Clayton"/>
    <n v="39"/>
    <x v="1"/>
    <x v="5"/>
    <s v="christian.clayton@yahoo.com"/>
    <s v="065 Madison Way, Smithstad, CT 68011"/>
    <x v="21"/>
    <d v="2024-03-01T00:00:00"/>
    <s v="10:38:12"/>
    <x v="13"/>
    <n v="104.18"/>
    <n v="5"/>
    <x v="0"/>
    <x v="0"/>
    <n v="5"/>
    <s v="Before_time"/>
    <n v="58"/>
    <n v="4"/>
    <d v="2024-03-05T00:00:00"/>
    <s v="13:23:35"/>
    <m/>
    <n v="537.22800000000007"/>
    <n v="41.672000000000004"/>
    <n v="479.22800000000012"/>
    <n v="520.90000000000009"/>
  </r>
  <r>
    <s v="CID163"/>
    <x v="19"/>
    <s v="Mark"/>
    <s v="Henderson"/>
    <n v="33"/>
    <x v="2"/>
    <x v="7"/>
    <s v="mark.henderson@yahoo.com"/>
    <s v="90155 Hines Spring, North Theresafurt, ME 31920"/>
    <x v="22"/>
    <d v="2023-07-18T00:00:00"/>
    <s v="20:47:13"/>
    <x v="15"/>
    <n v="461.07"/>
    <n v="1"/>
    <x v="0"/>
    <x v="0"/>
    <n v="1"/>
    <s v="On_time"/>
    <n v="56"/>
    <n v="1"/>
    <d v="2023-07-19T00:00:00"/>
    <s v="16:23:04"/>
    <m/>
    <n v="480.18440000000004"/>
    <n v="36.885599999999997"/>
    <n v="424.18440000000004"/>
    <n v="461.07"/>
  </r>
  <r>
    <s v="CID182"/>
    <x v="20"/>
    <s v="John"/>
    <s v="Herrera"/>
    <n v="64"/>
    <x v="1"/>
    <x v="1"/>
    <s v="john.herrera@outlook.com"/>
    <s v="61263 Jacob Isle, Amandatown, TN 34321"/>
    <x v="23"/>
    <d v="2023-09-25T00:00:00"/>
    <s v="08:09:52"/>
    <x v="16"/>
    <n v="132.97"/>
    <n v="1"/>
    <x v="1"/>
    <x v="1"/>
    <n v="4"/>
    <s v="On_time"/>
    <n v="55"/>
    <n v="4"/>
    <d v="2023-09-29T00:00:00"/>
    <s v="00:57:21"/>
    <m/>
    <n v="168.02449999999999"/>
    <n v="19.945499999999999"/>
    <n v="113.02449999999999"/>
    <n v="132.97"/>
  </r>
  <r>
    <s v="CID158"/>
    <x v="21"/>
    <s v="Angela"/>
    <s v="Evans"/>
    <n v="52"/>
    <x v="2"/>
    <x v="1"/>
    <s v="angela.evans@outlook.com"/>
    <s v="16031 David Mountain Suite 431, Susanborough, PA 01910"/>
    <x v="24"/>
    <d v="2023-08-08T00:00:00"/>
    <s v="19:13:06"/>
    <x v="17"/>
    <n v="126.19"/>
    <n v="2"/>
    <x v="2"/>
    <x v="2"/>
    <n v="3"/>
    <s v="Late_Delivery"/>
    <n v="63"/>
    <n v="4"/>
    <d v="2023-08-12T00:00:00"/>
    <s v="04:38:19"/>
    <m/>
    <n v="315.38"/>
    <n v="0"/>
    <n v="252.38"/>
    <n v="252.38"/>
  </r>
  <r>
    <s v="CID158"/>
    <x v="21"/>
    <s v="Angela"/>
    <s v="Evans"/>
    <n v="52"/>
    <x v="2"/>
    <x v="1"/>
    <s v="angela.evans@outlook.com"/>
    <s v="16031 David Mountain Suite 431, Susanborough, PA 01910"/>
    <x v="25"/>
    <d v="2023-07-31T00:00:00"/>
    <s v="06:04:50"/>
    <x v="18"/>
    <n v="282.63"/>
    <n v="3"/>
    <x v="2"/>
    <x v="2"/>
    <n v="2"/>
    <s v="Late_Delivery"/>
    <n v="40"/>
    <n v="4"/>
    <d v="2023-08-04T00:00:00"/>
    <s v="20:36:00"/>
    <m/>
    <n v="887.89"/>
    <n v="0"/>
    <n v="847.89"/>
    <n v="847.89"/>
  </r>
  <r>
    <s v="CID101"/>
    <x v="8"/>
    <s v="Bobby"/>
    <s v="Forbes"/>
    <n v="20"/>
    <x v="0"/>
    <x v="3"/>
    <s v="bobby.forbes@gmail.com"/>
    <s v="3079 John Parkway Suite 961, Port Kristaview, MT 91019"/>
    <x v="26"/>
    <d v="2023-05-20T00:00:00"/>
    <s v="17:44:17"/>
    <x v="19"/>
    <n v="128.13999999999999"/>
    <n v="3"/>
    <x v="0"/>
    <x v="0"/>
    <n v="4"/>
    <s v="Before_time"/>
    <n v="70"/>
    <n v="3"/>
    <d v="2023-05-23T00:00:00"/>
    <s v="09:53:18"/>
    <m/>
    <n v="423.66639999999995"/>
    <n v="30.753599999999995"/>
    <n v="353.66639999999995"/>
    <n v="384.41999999999996"/>
  </r>
  <r>
    <s v="CID101"/>
    <x v="8"/>
    <s v="Bobby"/>
    <s v="Forbes"/>
    <n v="20"/>
    <x v="0"/>
    <x v="3"/>
    <s v="bobby.forbes@gmail.com"/>
    <s v="3079 John Parkway Suite 961, Port Kristaview, MT 91019"/>
    <x v="27"/>
    <d v="2023-09-16T00:00:00"/>
    <s v="18:58:15"/>
    <x v="5"/>
    <n v="363.64"/>
    <n v="3"/>
    <x v="3"/>
    <x v="3"/>
    <n v="5"/>
    <s v="Before_time"/>
    <n v="39"/>
    <n v="4"/>
    <d v="2023-09-20T00:00:00"/>
    <s v="02:21:23"/>
    <m/>
    <n v="911.7360000000001"/>
    <n v="218.18400000000003"/>
    <n v="872.7360000000001"/>
    <n v="1090.92"/>
  </r>
  <r>
    <s v="CID193"/>
    <x v="22"/>
    <s v="Ashley"/>
    <s v="Rose"/>
    <n v="60"/>
    <x v="2"/>
    <x v="0"/>
    <s v="ashley.rose@gmail.com"/>
    <s v="424 Nichols Curve Suite 177, Lake Brianview, TX 17289"/>
    <x v="28"/>
    <d v="2023-03-02T00:00:00"/>
    <s v="12:22:52"/>
    <x v="5"/>
    <n v="363.64"/>
    <n v="2"/>
    <x v="1"/>
    <x v="1"/>
    <n v="1"/>
    <s v="On_time"/>
    <n v="43"/>
    <n v="1"/>
    <d v="2023-03-03T00:00:00"/>
    <s v="08:01:21"/>
    <m/>
    <n v="661.18799999999999"/>
    <n v="109.09199999999998"/>
    <n v="618.18799999999999"/>
    <n v="727.28"/>
  </r>
  <r>
    <s v="CID166"/>
    <x v="23"/>
    <s v="Taylor"/>
    <s v="Davis"/>
    <n v="54"/>
    <x v="1"/>
    <x v="0"/>
    <s v="taylor.davis@yahoo.com"/>
    <s v="USCGC Simmons, FPO AA 60167"/>
    <x v="29"/>
    <d v="2023-10-25T00:00:00"/>
    <s v="00:40:20"/>
    <x v="20"/>
    <n v="62.42"/>
    <n v="1"/>
    <x v="2"/>
    <x v="2"/>
    <n v="3"/>
    <s v="Late_Delivery"/>
    <n v="58"/>
    <n v="5"/>
    <d v="2023-10-30T00:00:00"/>
    <s v="20:26:25"/>
    <m/>
    <n v="120.42"/>
    <n v="0"/>
    <n v="62.42"/>
    <n v="62.42"/>
  </r>
  <r>
    <s v="CID191"/>
    <x v="24"/>
    <s v="Lauren"/>
    <s v="Long"/>
    <n v="44"/>
    <x v="0"/>
    <x v="7"/>
    <s v="lauren.long@gmail.com"/>
    <s v="258 Michael Brooks Suite 363, Arnoldview, PA 49438"/>
    <x v="30"/>
    <d v="2024-04-07T00:00:00"/>
    <s v="21:19:14"/>
    <x v="16"/>
    <n v="132.97"/>
    <n v="1"/>
    <x v="2"/>
    <x v="2"/>
    <n v="6"/>
    <s v="Late_Delivery"/>
    <n v="57"/>
    <n v="7"/>
    <d v="2024-04-14T00:00:00"/>
    <s v="17:27:57"/>
    <m/>
    <n v="189.97"/>
    <n v="0"/>
    <n v="132.97"/>
    <n v="132.97"/>
  </r>
  <r>
    <s v="CID108"/>
    <x v="25"/>
    <s v="Teresa"/>
    <s v="Harvey"/>
    <n v="64"/>
    <x v="2"/>
    <x v="0"/>
    <s v="teresa.harvey@gmail.com"/>
    <s v="02669 Kirk Squares, Davisville, VA 51272"/>
    <x v="31"/>
    <d v="2023-04-23T00:00:00"/>
    <s v="10:35:41"/>
    <x v="21"/>
    <n v="157.63999999999999"/>
    <n v="4"/>
    <x v="3"/>
    <x v="3"/>
    <n v="7"/>
    <s v="On_time"/>
    <n v="59"/>
    <n v="7"/>
    <d v="2023-04-30T00:00:00"/>
    <s v="09:28:47"/>
    <m/>
    <n v="563.44799999999998"/>
    <n v="126.11199999999999"/>
    <n v="504.44799999999998"/>
    <n v="630.55999999999995"/>
  </r>
  <r>
    <s v="CID191"/>
    <x v="24"/>
    <s v="Lauren"/>
    <s v="Long"/>
    <n v="44"/>
    <x v="0"/>
    <x v="7"/>
    <s v="lauren.long@gmail.com"/>
    <s v="258 Michael Brooks Suite 363, Arnoldview, PA 49438"/>
    <x v="32"/>
    <d v="2024-09-13T00:00:00"/>
    <s v="13:50:14"/>
    <x v="22"/>
    <n v="158.53"/>
    <n v="5"/>
    <x v="3"/>
    <x v="3"/>
    <n v="3"/>
    <s v="Late_Delivery"/>
    <n v="42"/>
    <n v="5"/>
    <d v="2024-09-18T00:00:00"/>
    <s v="08:49:03"/>
    <m/>
    <n v="676.12"/>
    <n v="158.53"/>
    <n v="634.12"/>
    <n v="792.65"/>
  </r>
  <r>
    <s v="CID161"/>
    <x v="26"/>
    <s v="Heather"/>
    <s v="Schneider"/>
    <n v="48"/>
    <x v="1"/>
    <x v="3"/>
    <s v="heather.schneider@outlook.com"/>
    <s v="57940 Susan Creek Apt. 541, Port Aliciamouth, OR 90221"/>
    <x v="33"/>
    <d v="2024-04-25T00:00:00"/>
    <s v="01:48:02"/>
    <x v="20"/>
    <n v="62.42"/>
    <n v="3"/>
    <x v="0"/>
    <x v="0"/>
    <n v="4"/>
    <s v="Late_Delivery"/>
    <n v="36"/>
    <n v="7"/>
    <d v="2024-05-02T00:00:00"/>
    <s v="09:55:32"/>
    <m/>
    <n v="208.2792"/>
    <n v="14.980799999999999"/>
    <n v="172.2792"/>
    <n v="187.26"/>
  </r>
  <r>
    <s v="CID190"/>
    <x v="27"/>
    <s v="Valerie"/>
    <s v="Carr"/>
    <n v="26"/>
    <x v="2"/>
    <x v="6"/>
    <s v="valerie.carr@rediffmail.com"/>
    <s v="981 Emily Stream, South Brianna, CO 98063"/>
    <x v="34"/>
    <d v="2023-08-30T00:00:00"/>
    <s v="14:37:48"/>
    <x v="23"/>
    <n v="129.75"/>
    <n v="1"/>
    <x v="4"/>
    <x v="4"/>
    <n v="5"/>
    <s v="Before_time"/>
    <n v="70"/>
    <n v="4"/>
    <d v="2023-09-03T00:00:00"/>
    <s v="09:09:46"/>
    <m/>
    <n v="186.77500000000001"/>
    <n v="12.975"/>
    <n v="116.77500000000001"/>
    <n v="129.75"/>
  </r>
  <r>
    <s v="CID158"/>
    <x v="21"/>
    <s v="Angela"/>
    <s v="Evans"/>
    <n v="52"/>
    <x v="2"/>
    <x v="1"/>
    <s v="angela.evans@outlook.com"/>
    <s v="16031 David Mountain Suite 431, Susanborough, PA 01910"/>
    <x v="35"/>
    <d v="2023-11-14T00:00:00"/>
    <s v="05:01:37"/>
    <x v="21"/>
    <n v="157.63999999999999"/>
    <n v="5"/>
    <x v="0"/>
    <x v="0"/>
    <n v="4"/>
    <s v="Before_time"/>
    <n v="53"/>
    <n v="2"/>
    <d v="2023-11-16T00:00:00"/>
    <s v="14:14:46"/>
    <m/>
    <n v="778.14400000000001"/>
    <n v="63.055999999999997"/>
    <n v="725.14400000000001"/>
    <n v="788.19999999999993"/>
  </r>
  <r>
    <s v="CID149"/>
    <x v="3"/>
    <s v="Angela"/>
    <s v="Horne"/>
    <n v="49"/>
    <x v="2"/>
    <x v="0"/>
    <s v="angela.horne@outlook.com"/>
    <s v="USNV Mueller, FPO AP 54648"/>
    <x v="36"/>
    <d v="2023-11-12T00:00:00"/>
    <s v="12:35:46"/>
    <x v="14"/>
    <n v="20.7"/>
    <n v="5"/>
    <x v="2"/>
    <x v="2"/>
    <n v="2"/>
    <s v="Late_Delivery"/>
    <n v="64"/>
    <n v="6"/>
    <d v="2023-11-18T00:00:00"/>
    <s v="00:00:51"/>
    <m/>
    <n v="167.5"/>
    <n v="0"/>
    <n v="103.5"/>
    <n v="103.5"/>
  </r>
  <r>
    <s v="CID120"/>
    <x v="28"/>
    <s v="Jenny"/>
    <s v="Estrada"/>
    <n v="45"/>
    <x v="0"/>
    <x v="1"/>
    <s v="jenny.estrada@yahoo.com"/>
    <s v="792 Carlos Islands, West David, CT 16522"/>
    <x v="37"/>
    <d v="2023-09-24T00:00:00"/>
    <s v="23:34:14"/>
    <x v="24"/>
    <n v="481.48"/>
    <n v="2"/>
    <x v="1"/>
    <x v="1"/>
    <n v="3"/>
    <s v="On_time"/>
    <n v="50"/>
    <n v="3"/>
    <d v="2023-09-27T00:00:00"/>
    <s v="16:46:20"/>
    <m/>
    <n v="868.51599999999996"/>
    <n v="144.44400000000002"/>
    <n v="818.51599999999996"/>
    <n v="962.96"/>
  </r>
  <r>
    <s v="CID155"/>
    <x v="29"/>
    <s v="Courtney"/>
    <s v="Parker"/>
    <n v="29"/>
    <x v="2"/>
    <x v="3"/>
    <s v="courtney.parker@yahoo.com"/>
    <s v="087 Jacqueline Rue Apt. 694, East Tasha, SC 04859"/>
    <x v="38"/>
    <d v="2024-12-30T00:00:00"/>
    <s v="04:09:40"/>
    <x v="3"/>
    <n v="405"/>
    <n v="1"/>
    <x v="2"/>
    <x v="2"/>
    <n v="7"/>
    <s v="Before_time"/>
    <n v="36"/>
    <n v="5"/>
    <d v="2025-01-04T00:00:00"/>
    <s v="01:56:00"/>
    <m/>
    <n v="441"/>
    <n v="0"/>
    <n v="405"/>
    <n v="405"/>
  </r>
  <r>
    <s v="CID121"/>
    <x v="30"/>
    <s v="Julie"/>
    <s v="Meyer"/>
    <n v="23"/>
    <x v="0"/>
    <x v="0"/>
    <s v="julie.meyer@yahoo.com"/>
    <s v="17381 Smith Ramp Suite 398, Courtneyville, AL 17756"/>
    <x v="39"/>
    <d v="2024-10-09T00:00:00"/>
    <s v="04:03:43"/>
    <x v="25"/>
    <n v="77.84"/>
    <n v="5"/>
    <x v="2"/>
    <x v="2"/>
    <n v="4"/>
    <s v="Before_time"/>
    <n v="47"/>
    <n v="1"/>
    <d v="2024-10-10T00:00:00"/>
    <s v="18:12:43"/>
    <m/>
    <n v="436.20000000000005"/>
    <n v="0"/>
    <n v="389.20000000000005"/>
    <n v="389.20000000000005"/>
  </r>
  <r>
    <s v="CID149"/>
    <x v="3"/>
    <s v="Angela"/>
    <s v="Horne"/>
    <n v="49"/>
    <x v="2"/>
    <x v="0"/>
    <s v="angela.horne@outlook.com"/>
    <s v="USNV Mueller, FPO AP 54648"/>
    <x v="40"/>
    <d v="2024-09-22T00:00:00"/>
    <s v="00:47:19"/>
    <x v="26"/>
    <n v="372.62"/>
    <n v="3"/>
    <x v="0"/>
    <x v="0"/>
    <n v="3"/>
    <s v="Late_Delivery"/>
    <n v="59"/>
    <n v="7"/>
    <d v="2024-09-29T00:00:00"/>
    <s v="11:25:58"/>
    <m/>
    <n v="1087.4312000000002"/>
    <n v="89.42880000000001"/>
    <n v="1028.4312000000002"/>
    <n v="1117.8600000000001"/>
  </r>
  <r>
    <s v="CID178"/>
    <x v="11"/>
    <s v="Amy"/>
    <s v="Reid"/>
    <n v="44"/>
    <x v="1"/>
    <x v="3"/>
    <s v="amy.reid@rediffmail.com"/>
    <s v="6262 Simpson Village, North Danielle, RI 76074"/>
    <x v="41"/>
    <d v="2024-10-03T00:00:00"/>
    <s v="12:37:23"/>
    <x v="26"/>
    <n v="372.62"/>
    <n v="3"/>
    <x v="0"/>
    <x v="0"/>
    <n v="1"/>
    <s v="Late_Delivery"/>
    <n v="52"/>
    <n v="7"/>
    <d v="2024-10-10T00:00:00"/>
    <s v="09:02:09"/>
    <m/>
    <n v="1080.4312000000002"/>
    <n v="89.42880000000001"/>
    <n v="1028.4312000000002"/>
    <n v="1117.8600000000001"/>
  </r>
  <r>
    <s v="CID133"/>
    <x v="31"/>
    <s v="Donna"/>
    <s v="Oneill"/>
    <n v="70"/>
    <x v="0"/>
    <x v="6"/>
    <s v="donna.oneill@yahoo.com"/>
    <s v="464 Carolyn Crest Suite 738, Lake Isaiah, CA 66153"/>
    <x v="42"/>
    <d v="2023-08-13T00:00:00"/>
    <s v="17:27:33"/>
    <x v="27"/>
    <n v="496.59"/>
    <n v="3"/>
    <x v="1"/>
    <x v="1"/>
    <n v="4"/>
    <s v="Before_time"/>
    <n v="49"/>
    <n v="1"/>
    <d v="2023-08-14T00:00:00"/>
    <s v="15:28:39"/>
    <m/>
    <n v="1315.3045"/>
    <n v="223.46549999999999"/>
    <n v="1266.3045"/>
    <n v="1489.77"/>
  </r>
  <r>
    <s v="CID169"/>
    <x v="32"/>
    <s v="Robert"/>
    <s v="Castillo"/>
    <n v="32"/>
    <x v="1"/>
    <x v="6"/>
    <s v="robert.castillo@gmail.com"/>
    <s v="7143 Brandon Skyway Suite 899, Tylerton, IA 21756"/>
    <x v="43"/>
    <d v="2023-04-04T00:00:00"/>
    <s v="01:59:03"/>
    <x v="23"/>
    <n v="129.75"/>
    <n v="1"/>
    <x v="4"/>
    <x v="4"/>
    <n v="6"/>
    <s v="On_time"/>
    <n v="43"/>
    <n v="6"/>
    <d v="2023-04-10T00:00:00"/>
    <s v="12:37:05"/>
    <m/>
    <n v="159.77500000000001"/>
    <n v="12.975"/>
    <n v="116.77500000000001"/>
    <n v="129.75"/>
  </r>
  <r>
    <s v="CID132"/>
    <x v="33"/>
    <s v="Timothy"/>
    <s v="Hicks"/>
    <n v="31"/>
    <x v="2"/>
    <x v="4"/>
    <s v="timothy.hicks@gmail.com"/>
    <s v="140 Tracy Fields, Lake Cynthiaton, TX 57190"/>
    <x v="44"/>
    <d v="2024-02-14T00:00:00"/>
    <s v="21:46:52"/>
    <x v="10"/>
    <n v="190.1"/>
    <n v="5"/>
    <x v="0"/>
    <x v="0"/>
    <n v="5"/>
    <s v="On_time"/>
    <n v="35"/>
    <n v="5"/>
    <d v="2024-02-19T00:00:00"/>
    <s v="16:09:29"/>
    <m/>
    <n v="909.46"/>
    <n v="76.040000000000006"/>
    <n v="874.46"/>
    <n v="950.5"/>
  </r>
  <r>
    <s v="CID180"/>
    <x v="34"/>
    <s v="Thomas"/>
    <s v="Andersen"/>
    <n v="50"/>
    <x v="2"/>
    <x v="4"/>
    <s v="thomas.andersen@yahoo.com"/>
    <s v="480 Summers Lock Suite 819, Sarahborough, IA 59863"/>
    <x v="45"/>
    <d v="2023-03-02T00:00:00"/>
    <s v="18:49:59"/>
    <x v="10"/>
    <n v="190.1"/>
    <n v="1"/>
    <x v="3"/>
    <x v="3"/>
    <n v="4"/>
    <s v="Late_Delivery"/>
    <n v="63"/>
    <n v="5"/>
    <d v="2023-03-07T00:00:00"/>
    <s v="00:31:21"/>
    <m/>
    <n v="215.08"/>
    <n v="38.020000000000003"/>
    <n v="152.08000000000001"/>
    <n v="190.1"/>
  </r>
  <r>
    <s v="CID190"/>
    <x v="27"/>
    <s v="Valerie"/>
    <s v="Carr"/>
    <n v="26"/>
    <x v="2"/>
    <x v="6"/>
    <s v="valerie.carr@rediffmail.com"/>
    <s v="981 Emily Stream, South Brianna, CO 98063"/>
    <x v="46"/>
    <d v="2024-01-22T00:00:00"/>
    <s v="22:08:17"/>
    <x v="28"/>
    <n v="431.44"/>
    <n v="5"/>
    <x v="0"/>
    <x v="0"/>
    <n v="2"/>
    <s v="Late_Delivery"/>
    <n v="57"/>
    <n v="5"/>
    <d v="2024-01-27T00:00:00"/>
    <s v="06:23:07"/>
    <m/>
    <n v="2041.624"/>
    <n v="172.57599999999999"/>
    <n v="1984.624"/>
    <n v="2157.1999999999998"/>
  </r>
  <r>
    <s v="CID184"/>
    <x v="35"/>
    <s v="Aaron"/>
    <s v="Thompson"/>
    <n v="47"/>
    <x v="1"/>
    <x v="3"/>
    <s v="aaron.thompson@gmail.com"/>
    <s v="PSC 0550, Box 2737, APO AE 75772"/>
    <x v="47"/>
    <d v="2023-05-08T00:00:00"/>
    <s v="19:20:51"/>
    <x v="21"/>
    <n v="157.63999999999999"/>
    <n v="4"/>
    <x v="0"/>
    <x v="0"/>
    <n v="4"/>
    <s v="Late_Delivery"/>
    <n v="44"/>
    <n v="7"/>
    <d v="2023-05-15T00:00:00"/>
    <s v="07:23:46"/>
    <m/>
    <n v="624.11519999999996"/>
    <n v="50.444799999999994"/>
    <n v="580.11519999999996"/>
    <n v="630.55999999999995"/>
  </r>
  <r>
    <s v="CID187"/>
    <x v="36"/>
    <s v="Jason"/>
    <s v="Lopez"/>
    <n v="40"/>
    <x v="2"/>
    <x v="6"/>
    <s v="jason.lopez@outlook.com"/>
    <s v="934 Levine View, Brentport, NE 38210"/>
    <x v="48"/>
    <d v="2024-11-24T00:00:00"/>
    <s v="00:57:17"/>
    <x v="1"/>
    <n v="166.28"/>
    <n v="4"/>
    <x v="2"/>
    <x v="2"/>
    <n v="3"/>
    <s v="Late_Delivery"/>
    <n v="41"/>
    <n v="6"/>
    <d v="2024-11-30T00:00:00"/>
    <s v="09:51:58"/>
    <m/>
    <n v="706.12"/>
    <n v="0"/>
    <n v="665.12"/>
    <n v="665.12"/>
  </r>
  <r>
    <s v="CID181"/>
    <x v="37"/>
    <s v="Alexandra"/>
    <s v="Smith"/>
    <n v="70"/>
    <x v="0"/>
    <x v="0"/>
    <s v="alexandra.smith@rediffmail.com"/>
    <s v="48611 Clark Village, West Anne, GA 92865"/>
    <x v="49"/>
    <d v="2024-09-10T00:00:00"/>
    <s v="04:25:34"/>
    <x v="14"/>
    <n v="20.7"/>
    <n v="2"/>
    <x v="4"/>
    <x v="4"/>
    <n v="2"/>
    <s v="On_time"/>
    <n v="50"/>
    <n v="2"/>
    <d v="2024-09-12T00:00:00"/>
    <s v="00:47:31"/>
    <m/>
    <n v="87.259999999999991"/>
    <n v="4.1399999999999997"/>
    <n v="37.26"/>
    <n v="41.4"/>
  </r>
  <r>
    <s v="CID133"/>
    <x v="31"/>
    <s v="Donna"/>
    <s v="Oneill"/>
    <n v="70"/>
    <x v="0"/>
    <x v="6"/>
    <s v="donna.oneill@yahoo.com"/>
    <s v="464 Carolyn Crest Suite 738, Lake Isaiah, CA 66153"/>
    <x v="50"/>
    <d v="2023-10-25T00:00:00"/>
    <s v="07:52:23"/>
    <x v="23"/>
    <n v="129.75"/>
    <n v="2"/>
    <x v="3"/>
    <x v="3"/>
    <n v="5"/>
    <s v="Before_time"/>
    <n v="42"/>
    <n v="3"/>
    <d v="2023-10-28T00:00:00"/>
    <s v="17:14:10"/>
    <m/>
    <n v="249.60000000000002"/>
    <n v="51.9"/>
    <n v="207.60000000000002"/>
    <n v="259.5"/>
  </r>
  <r>
    <s v="CID116"/>
    <x v="38"/>
    <s v="John"/>
    <s v="Ramirez"/>
    <n v="28"/>
    <x v="2"/>
    <x v="4"/>
    <s v="john.ramirez@outlook.com"/>
    <s v="02797 Martin Landing, South Michelle, VT 98781"/>
    <x v="51"/>
    <d v="2024-03-14T00:00:00"/>
    <s v="15:34:34"/>
    <x v="29"/>
    <n v="44.5"/>
    <n v="4"/>
    <x v="0"/>
    <x v="0"/>
    <n v="2"/>
    <s v="Late_Delivery"/>
    <n v="40"/>
    <n v="3"/>
    <d v="2024-03-17T00:00:00"/>
    <s v="01:12:58"/>
    <m/>
    <n v="203.76000000000002"/>
    <n v="14.24"/>
    <n v="163.76000000000002"/>
    <n v="178"/>
  </r>
  <r>
    <s v="CID135"/>
    <x v="39"/>
    <s v="Amanda"/>
    <s v="Howard"/>
    <n v="52"/>
    <x v="2"/>
    <x v="7"/>
    <s v="amanda.howard@outlook.com"/>
    <s v="56908 Sydney Park Suite 632, West Anthonyport, NC 15954"/>
    <x v="52"/>
    <d v="2023-08-07T00:00:00"/>
    <s v="01:45:28"/>
    <x v="19"/>
    <n v="128.13999999999999"/>
    <n v="5"/>
    <x v="1"/>
    <x v="1"/>
    <n v="2"/>
    <s v="On_time"/>
    <n v="57"/>
    <n v="2"/>
    <d v="2023-08-09T00:00:00"/>
    <s v="07:09:53"/>
    <m/>
    <n v="601.59499999999991"/>
    <n v="96.104999999999976"/>
    <n v="544.59499999999991"/>
    <n v="640.69999999999993"/>
  </r>
  <r>
    <s v="CID190"/>
    <x v="27"/>
    <s v="Valerie"/>
    <s v="Carr"/>
    <n v="26"/>
    <x v="2"/>
    <x v="6"/>
    <s v="valerie.carr@rediffmail.com"/>
    <s v="981 Emily Stream, South Brianna, CO 98063"/>
    <x v="53"/>
    <d v="2024-01-21T00:00:00"/>
    <s v="12:30:02"/>
    <x v="30"/>
    <n v="369.03"/>
    <n v="2"/>
    <x v="4"/>
    <x v="4"/>
    <n v="4"/>
    <s v="Late_Delivery"/>
    <n v="46"/>
    <n v="6"/>
    <d v="2024-01-27T00:00:00"/>
    <s v="07:53:31"/>
    <m/>
    <n v="710.25400000000002"/>
    <n v="73.805999999999997"/>
    <n v="664.25400000000002"/>
    <n v="738.06"/>
  </r>
  <r>
    <s v="CID116"/>
    <x v="38"/>
    <s v="John"/>
    <s v="Ramirez"/>
    <n v="28"/>
    <x v="2"/>
    <x v="4"/>
    <s v="john.ramirez@outlook.com"/>
    <s v="02797 Martin Landing, South Michelle, VT 98781"/>
    <x v="54"/>
    <d v="2024-11-03T00:00:00"/>
    <s v="04:32:42"/>
    <x v="5"/>
    <n v="363.64"/>
    <n v="1"/>
    <x v="4"/>
    <x v="4"/>
    <n v="3"/>
    <s v="Late_Delivery"/>
    <n v="70"/>
    <n v="7"/>
    <d v="2024-11-10T00:00:00"/>
    <s v="08:48:02"/>
    <m/>
    <n v="397.27600000000001"/>
    <n v="36.363999999999997"/>
    <n v="327.27600000000001"/>
    <n v="363.64"/>
  </r>
  <r>
    <s v="CID165"/>
    <x v="40"/>
    <s v="Mary"/>
    <s v="Knight"/>
    <n v="28"/>
    <x v="2"/>
    <x v="2"/>
    <s v="mary.knight@yahoo.com"/>
    <s v="907 Kimberly Hill, Murrayfort, NH 88384"/>
    <x v="55"/>
    <d v="2023-10-30T00:00:00"/>
    <s v="14:13:38"/>
    <x v="3"/>
    <n v="405"/>
    <n v="1"/>
    <x v="2"/>
    <x v="2"/>
    <n v="5"/>
    <s v="Before_time"/>
    <n v="44"/>
    <n v="4"/>
    <d v="2023-11-03T00:00:00"/>
    <s v="16:08:19"/>
    <m/>
    <n v="449"/>
    <n v="0"/>
    <n v="405"/>
    <n v="405"/>
  </r>
  <r>
    <s v="CID126"/>
    <x v="41"/>
    <s v="Marcus"/>
    <s v="Rogers"/>
    <n v="36"/>
    <x v="1"/>
    <x v="0"/>
    <s v="marcus.rogers@outlook.com"/>
    <s v="06912 Brown Pine Apt. 763, Teresamouth, HI 24377"/>
    <x v="56"/>
    <d v="2023-08-11T00:00:00"/>
    <s v="02:09:48"/>
    <x v="20"/>
    <n v="62.42"/>
    <n v="2"/>
    <x v="1"/>
    <x v="1"/>
    <n v="1"/>
    <s v="Late_Delivery"/>
    <n v="53"/>
    <n v="5"/>
    <d v="2023-08-16T00:00:00"/>
    <s v="03:08:52"/>
    <m/>
    <n v="159.114"/>
    <n v="18.726000000000003"/>
    <n v="106.114"/>
    <n v="124.84"/>
  </r>
  <r>
    <s v="CID111"/>
    <x v="42"/>
    <s v="Brian"/>
    <s v="Kennedy"/>
    <n v="69"/>
    <x v="0"/>
    <x v="0"/>
    <s v="brian.kennedy@outlook.com"/>
    <s v="25126 Nancy Fort Suite 568, Alexandrachester, AZ 44823"/>
    <x v="57"/>
    <d v="2023-10-14T00:00:00"/>
    <s v="16:10:50"/>
    <x v="14"/>
    <n v="20.7"/>
    <n v="5"/>
    <x v="1"/>
    <x v="1"/>
    <n v="7"/>
    <s v="Before_time"/>
    <n v="57"/>
    <n v="5"/>
    <d v="2023-10-19T00:00:00"/>
    <s v="15:21:29"/>
    <m/>
    <n v="144.97499999999999"/>
    <n v="15.525"/>
    <n v="87.974999999999994"/>
    <n v="103.5"/>
  </r>
  <r>
    <s v="CID129"/>
    <x v="43"/>
    <s v="Rebecca"/>
    <s v="Figueroa"/>
    <n v="63"/>
    <x v="0"/>
    <x v="4"/>
    <s v="rebecca.figueroa@outlook.com"/>
    <s v="3959 Bell Dale, North Jacob, LA 07934"/>
    <x v="58"/>
    <d v="2024-12-29T00:00:00"/>
    <s v="09:43:27"/>
    <x v="5"/>
    <n v="363.64"/>
    <n v="3"/>
    <x v="4"/>
    <x v="4"/>
    <n v="6"/>
    <s v="Late_Delivery"/>
    <n v="69"/>
    <n v="7"/>
    <d v="2025-01-05T00:00:00"/>
    <s v="00:00:42"/>
    <m/>
    <n v="1050.828"/>
    <n v="109.09200000000001"/>
    <n v="981.82800000000009"/>
    <n v="1090.92"/>
  </r>
  <r>
    <s v="CID199"/>
    <x v="44"/>
    <s v="Lori"/>
    <s v="Cook"/>
    <n v="18"/>
    <x v="1"/>
    <x v="1"/>
    <s v="lori.cook@rediffmail.com"/>
    <s v="86837 Bell Meadows, North Jasonshire, UT 51354"/>
    <x v="59"/>
    <d v="2023-02-15T00:00:00"/>
    <s v="02:34:25"/>
    <x v="31"/>
    <n v="286.07"/>
    <n v="3"/>
    <x v="3"/>
    <x v="3"/>
    <n v="2"/>
    <s v="Late_Delivery"/>
    <n v="54"/>
    <n v="5"/>
    <d v="2023-02-20T00:00:00"/>
    <s v="13:09:47"/>
    <m/>
    <n v="740.5680000000001"/>
    <n v="171.642"/>
    <n v="686.5680000000001"/>
    <n v="858.21"/>
  </r>
  <r>
    <s v="CID134"/>
    <x v="45"/>
    <s v="Debra"/>
    <s v="Hayes"/>
    <n v="33"/>
    <x v="0"/>
    <x v="6"/>
    <s v="debra.hayes@yahoo.com"/>
    <s v="4601 Miller Lock, Williamsbury, IA 10943"/>
    <x v="60"/>
    <d v="2024-05-23T00:00:00"/>
    <s v="02:46:19"/>
    <x v="32"/>
    <n v="87.09"/>
    <n v="4"/>
    <x v="2"/>
    <x v="2"/>
    <n v="6"/>
    <s v="Before_time"/>
    <n v="63"/>
    <n v="4"/>
    <d v="2024-05-27T00:00:00"/>
    <s v="20:00:32"/>
    <m/>
    <n v="411.36"/>
    <n v="0"/>
    <n v="348.36"/>
    <n v="348.36"/>
  </r>
  <r>
    <s v="CID136"/>
    <x v="46"/>
    <s v="Brittany"/>
    <s v="Stewart"/>
    <n v="68"/>
    <x v="2"/>
    <x v="7"/>
    <s v="brittany.stewart@gmail.com"/>
    <s v="6250 David Loaf Suite 561, North Pamelaberg, WV 63652"/>
    <x v="61"/>
    <d v="2023-03-17T00:00:00"/>
    <s v="18:25:37"/>
    <x v="6"/>
    <n v="275.44"/>
    <n v="4"/>
    <x v="0"/>
    <x v="0"/>
    <n v="4"/>
    <s v="Late_Delivery"/>
    <n v="40"/>
    <n v="5"/>
    <d v="2023-03-22T00:00:00"/>
    <s v="15:52:25"/>
    <m/>
    <n v="1053.6192000000001"/>
    <n v="88.140799999999999"/>
    <n v="1013.6192000000001"/>
    <n v="1101.76"/>
  </r>
  <r>
    <s v="CID153"/>
    <x v="47"/>
    <s v="Mitchell"/>
    <s v="Parker"/>
    <n v="39"/>
    <x v="2"/>
    <x v="1"/>
    <s v="mitchell.parker@yahoo.com"/>
    <s v="PSC 3316, Box 9303, APO AE 29513"/>
    <x v="62"/>
    <d v="2025-01-23T00:00:00"/>
    <s v="19:18:19"/>
    <x v="33"/>
    <n v="421.7"/>
    <n v="1"/>
    <x v="4"/>
    <x v="4"/>
    <n v="3"/>
    <s v="Late_Delivery"/>
    <n v="59"/>
    <n v="4"/>
    <d v="2025-01-27T00:00:00"/>
    <s v="02:44:55"/>
    <m/>
    <n v="438.53"/>
    <n v="42.17"/>
    <n v="379.53"/>
    <n v="421.7"/>
  </r>
  <r>
    <s v="CID182"/>
    <x v="20"/>
    <s v="John"/>
    <s v="Herrera"/>
    <n v="64"/>
    <x v="1"/>
    <x v="1"/>
    <s v="john.herrera@outlook.com"/>
    <s v="61263 Jacob Isle, Amandatown, TN 34321"/>
    <x v="63"/>
    <d v="2024-12-03T00:00:00"/>
    <s v="09:15:50"/>
    <x v="12"/>
    <n v="272.51"/>
    <n v="1"/>
    <x v="3"/>
    <x v="3"/>
    <n v="4"/>
    <s v="Before_time"/>
    <n v="43"/>
    <n v="1"/>
    <d v="2024-12-04T00:00:00"/>
    <s v="09:05:06"/>
    <m/>
    <n v="261.00800000000004"/>
    <n v="54.501999999999995"/>
    <n v="218.00800000000001"/>
    <n v="272.51"/>
  </r>
  <r>
    <s v="CID100"/>
    <x v="48"/>
    <s v="Sharon"/>
    <s v="Thompson"/>
    <n v="57"/>
    <x v="1"/>
    <x v="7"/>
    <s v="sharon.thompson@yahoo.com"/>
    <s v="598 Jasmine Harbor, Turnerberg, SD 02371"/>
    <x v="64"/>
    <d v="2024-02-24T00:00:00"/>
    <s v="02:51:35"/>
    <x v="9"/>
    <n v="175.93"/>
    <n v="3"/>
    <x v="0"/>
    <x v="0"/>
    <n v="4"/>
    <s v="Late_Delivery"/>
    <n v="46"/>
    <n v="5"/>
    <d v="2024-02-29T00:00:00"/>
    <s v="05:56:26"/>
    <m/>
    <n v="531.56680000000006"/>
    <n v="42.223199999999999"/>
    <n v="485.5668"/>
    <n v="527.79"/>
  </r>
  <r>
    <s v="CID195"/>
    <x v="49"/>
    <s v="Sarah"/>
    <s v="Butler"/>
    <n v="64"/>
    <x v="0"/>
    <x v="0"/>
    <s v="sarah.butler@rediffmail.com"/>
    <s v="14131 Edwin Shore Apt. 190, Deniseberg, MD 90905"/>
    <x v="65"/>
    <d v="2024-07-30T00:00:00"/>
    <s v="20:59:40"/>
    <x v="34"/>
    <n v="136.30000000000001"/>
    <n v="5"/>
    <x v="1"/>
    <x v="1"/>
    <n v="6"/>
    <s v="Late_Delivery"/>
    <n v="39"/>
    <n v="7"/>
    <d v="2024-08-06T00:00:00"/>
    <s v="23:33:51"/>
    <m/>
    <n v="618.27499999999998"/>
    <n v="102.22499999999999"/>
    <n v="579.27499999999998"/>
    <n v="681.5"/>
  </r>
  <r>
    <s v="CID193"/>
    <x v="22"/>
    <s v="Ashley"/>
    <s v="Rose"/>
    <n v="60"/>
    <x v="2"/>
    <x v="0"/>
    <s v="ashley.rose@gmail.com"/>
    <s v="424 Nichols Curve Suite 177, Lake Brianview, TX 17289"/>
    <x v="66"/>
    <d v="2024-06-08T00:00:00"/>
    <s v="17:00:22"/>
    <x v="35"/>
    <n v="441.03"/>
    <n v="2"/>
    <x v="4"/>
    <x v="4"/>
    <n v="3"/>
    <s v="Late_Delivery"/>
    <n v="49"/>
    <n v="7"/>
    <d v="2024-06-15T00:00:00"/>
    <s v="12:18:47"/>
    <m/>
    <n v="842.85399999999993"/>
    <n v="88.205999999999989"/>
    <n v="793.85399999999993"/>
    <n v="882.06"/>
  </r>
  <r>
    <s v="CID175"/>
    <x v="50"/>
    <s v="Katherine"/>
    <s v="Weber"/>
    <n v="42"/>
    <x v="2"/>
    <x v="2"/>
    <s v="katherine.weber@outlook.com"/>
    <s v="04887 Kimberly Union Apt. 645, Port Laura, IL 97219"/>
    <x v="67"/>
    <d v="2024-01-31T00:00:00"/>
    <s v="22:51:56"/>
    <x v="30"/>
    <n v="369.03"/>
    <n v="4"/>
    <x v="3"/>
    <x v="3"/>
    <n v="7"/>
    <s v="Before_time"/>
    <n v="52"/>
    <n v="5"/>
    <d v="2024-02-05T00:00:00"/>
    <s v="07:24:20"/>
    <m/>
    <n v="1232.896"/>
    <n v="295.22399999999999"/>
    <n v="1180.896"/>
    <n v="1476.12"/>
  </r>
  <r>
    <s v="CID103"/>
    <x v="51"/>
    <s v="Jason"/>
    <s v="Nguyen"/>
    <n v="51"/>
    <x v="2"/>
    <x v="4"/>
    <s v="jason.nguyen@yahoo.com"/>
    <s v="7112 Travis Glens Suite 790, Crystalland, WV 38373"/>
    <x v="68"/>
    <d v="2023-12-17T00:00:00"/>
    <s v="12:19:34"/>
    <x v="27"/>
    <n v="496.59"/>
    <n v="4"/>
    <x v="1"/>
    <x v="1"/>
    <n v="7"/>
    <s v="Before_time"/>
    <n v="36"/>
    <n v="3"/>
    <d v="2023-12-20T00:00:00"/>
    <s v="10:04:54"/>
    <m/>
    <n v="1724.4059999999999"/>
    <n v="297.95399999999995"/>
    <n v="1688.4059999999999"/>
    <n v="1986.36"/>
  </r>
  <r>
    <s v="CID192"/>
    <x v="52"/>
    <s v="Brandon"/>
    <s v="Cruz"/>
    <n v="32"/>
    <x v="2"/>
    <x v="3"/>
    <s v="brandon.cruz@gmail.com"/>
    <s v="9296 Villanueva Branch, East Kevin, CO 93912"/>
    <x v="69"/>
    <d v="2024-10-21T00:00:00"/>
    <s v="15:26:04"/>
    <x v="27"/>
    <n v="496.59"/>
    <n v="2"/>
    <x v="0"/>
    <x v="0"/>
    <n v="5"/>
    <s v="Before_time"/>
    <n v="41"/>
    <n v="2"/>
    <d v="2024-10-23T00:00:00"/>
    <s v="08:17:58"/>
    <m/>
    <n v="954.72559999999999"/>
    <n v="79.454399999999993"/>
    <n v="913.72559999999999"/>
    <n v="993.18"/>
  </r>
  <r>
    <s v="CID186"/>
    <x v="0"/>
    <s v="Anne"/>
    <s v="Oconnell"/>
    <n v="37"/>
    <x v="0"/>
    <x v="0"/>
    <s v="anne.oconnell@outlook.com"/>
    <s v="2850 Matthew Ford, North Yolandachester, FL 67488"/>
    <x v="70"/>
    <d v="2024-10-02T00:00:00"/>
    <s v="19:49:32"/>
    <x v="0"/>
    <n v="308.88"/>
    <n v="1"/>
    <x v="2"/>
    <x v="2"/>
    <n v="6"/>
    <s v="Before_time"/>
    <n v="62"/>
    <n v="2"/>
    <d v="2024-10-04T00:00:00"/>
    <s v="22:41:33"/>
    <m/>
    <n v="370.88"/>
    <n v="0"/>
    <n v="308.88"/>
    <n v="308.88"/>
  </r>
  <r>
    <s v="CID174"/>
    <x v="53"/>
    <s v="Jodi"/>
    <s v="Whitney"/>
    <n v="33"/>
    <x v="2"/>
    <x v="6"/>
    <s v="jodi.whitney@yahoo.com"/>
    <s v="72876 Lara Key Suite 383, Gutierrezton, OR 71683"/>
    <x v="71"/>
    <d v="2024-07-22T00:00:00"/>
    <s v="21:08:59"/>
    <x v="36"/>
    <n v="425.59"/>
    <n v="4"/>
    <x v="2"/>
    <x v="2"/>
    <n v="6"/>
    <s v="Before_time"/>
    <n v="53"/>
    <n v="1"/>
    <d v="2024-07-23T00:00:00"/>
    <s v="10:39:08"/>
    <m/>
    <n v="1755.36"/>
    <n v="0"/>
    <n v="1702.36"/>
    <n v="1702.36"/>
  </r>
  <r>
    <s v="CID163"/>
    <x v="19"/>
    <s v="Mark"/>
    <s v="Henderson"/>
    <n v="33"/>
    <x v="2"/>
    <x v="7"/>
    <s v="mark.henderson@yahoo.com"/>
    <s v="90155 Hines Spring, North Theresafurt, ME 31920"/>
    <x v="72"/>
    <d v="2024-03-04T00:00:00"/>
    <s v="05:40:38"/>
    <x v="0"/>
    <n v="308.88"/>
    <n v="1"/>
    <x v="4"/>
    <x v="4"/>
    <n v="1"/>
    <s v="Late_Delivery"/>
    <n v="56"/>
    <n v="5"/>
    <d v="2024-03-09T00:00:00"/>
    <s v="05:38:59"/>
    <m/>
    <n v="333.99200000000002"/>
    <n v="30.888000000000002"/>
    <n v="277.99200000000002"/>
    <n v="308.88"/>
  </r>
  <r>
    <s v="CID111"/>
    <x v="42"/>
    <s v="Brian"/>
    <s v="Kennedy"/>
    <n v="69"/>
    <x v="0"/>
    <x v="0"/>
    <s v="brian.kennedy@outlook.com"/>
    <s v="25126 Nancy Fort Suite 568, Alexandrachester, AZ 44823"/>
    <x v="73"/>
    <d v="2023-07-25T00:00:00"/>
    <s v="17:56:01"/>
    <x v="28"/>
    <n v="431.44"/>
    <n v="5"/>
    <x v="1"/>
    <x v="1"/>
    <n v="6"/>
    <s v="Late_Delivery"/>
    <n v="59"/>
    <n v="7"/>
    <d v="2023-08-01T00:00:00"/>
    <s v="15:52:42"/>
    <m/>
    <n v="1892.62"/>
    <n v="323.58"/>
    <n v="1833.62"/>
    <n v="2157.1999999999998"/>
  </r>
  <r>
    <s v="CID111"/>
    <x v="42"/>
    <s v="Brian"/>
    <s v="Kennedy"/>
    <n v="69"/>
    <x v="0"/>
    <x v="0"/>
    <s v="brian.kennedy@outlook.com"/>
    <s v="25126 Nancy Fort Suite 568, Alexandrachester, AZ 44823"/>
    <x v="74"/>
    <d v="2024-12-24T00:00:00"/>
    <s v="23:34:28"/>
    <x v="37"/>
    <n v="133.62"/>
    <n v="2"/>
    <x v="4"/>
    <x v="4"/>
    <n v="4"/>
    <s v="Before_time"/>
    <n v="50"/>
    <n v="1"/>
    <d v="2024-12-25T00:00:00"/>
    <s v="02:05:20"/>
    <m/>
    <n v="290.51600000000002"/>
    <n v="26.724"/>
    <n v="240.51600000000002"/>
    <n v="267.24"/>
  </r>
  <r>
    <s v="CID108"/>
    <x v="25"/>
    <s v="Teresa"/>
    <s v="Harvey"/>
    <n v="64"/>
    <x v="2"/>
    <x v="0"/>
    <s v="teresa.harvey@gmail.com"/>
    <s v="02669 Kirk Squares, Davisville, VA 51272"/>
    <x v="75"/>
    <d v="2024-06-16T00:00:00"/>
    <s v="03:04:26"/>
    <x v="5"/>
    <n v="363.64"/>
    <n v="3"/>
    <x v="2"/>
    <x v="2"/>
    <n v="7"/>
    <s v="Before_time"/>
    <n v="41"/>
    <n v="2"/>
    <d v="2024-06-18T00:00:00"/>
    <s v="16:05:07"/>
    <m/>
    <n v="1131.92"/>
    <n v="0"/>
    <n v="1090.92"/>
    <n v="1090.92"/>
  </r>
  <r>
    <s v="CID150"/>
    <x v="1"/>
    <s v="Anthony"/>
    <s v="Thomas"/>
    <n v="53"/>
    <x v="1"/>
    <x v="1"/>
    <s v="anthony.thomas@rediffmail.com"/>
    <s v="931 Christopher Ways Suite 833, North Michelle, IN 53484"/>
    <x v="76"/>
    <d v="2023-04-25T00:00:00"/>
    <s v="04:27:04"/>
    <x v="19"/>
    <n v="128.13999999999999"/>
    <n v="1"/>
    <x v="0"/>
    <x v="0"/>
    <n v="7"/>
    <s v="Before_time"/>
    <n v="70"/>
    <n v="4"/>
    <d v="2023-04-29T00:00:00"/>
    <s v="07:38:34"/>
    <m/>
    <n v="187.8888"/>
    <n v="10.251199999999999"/>
    <n v="117.88879999999999"/>
    <n v="128.13999999999999"/>
  </r>
  <r>
    <s v="CID184"/>
    <x v="35"/>
    <s v="Aaron"/>
    <s v="Thompson"/>
    <n v="47"/>
    <x v="1"/>
    <x v="3"/>
    <s v="aaron.thompson@gmail.com"/>
    <s v="PSC 0550, Box 2737, APO AE 75772"/>
    <x v="77"/>
    <d v="2025-01-26T00:00:00"/>
    <s v="23:24:39"/>
    <x v="38"/>
    <n v="477.52"/>
    <n v="2"/>
    <x v="0"/>
    <x v="0"/>
    <n v="6"/>
    <s v="Before_time"/>
    <n v="55"/>
    <n v="2"/>
    <d v="2025-01-28T00:00:00"/>
    <s v="01:07:36"/>
    <m/>
    <n v="933.63679999999999"/>
    <n v="76.403199999999998"/>
    <n v="878.63679999999999"/>
    <n v="955.04"/>
  </r>
  <r>
    <s v="CID145"/>
    <x v="54"/>
    <s v="Ashley"/>
    <s v="Romero"/>
    <n v="35"/>
    <x v="0"/>
    <x v="0"/>
    <s v="ashley.romero@yahoo.com"/>
    <s v="547 Kerry Expressway, Lake Amanda, AR 20321"/>
    <x v="78"/>
    <d v="2023-05-08T00:00:00"/>
    <s v="18:54:33"/>
    <x v="17"/>
    <n v="126.19"/>
    <n v="3"/>
    <x v="2"/>
    <x v="2"/>
    <n v="5"/>
    <s v="Before_time"/>
    <n v="40"/>
    <n v="4"/>
    <d v="2023-05-12T00:00:00"/>
    <s v="16:14:09"/>
    <m/>
    <n v="418.57"/>
    <n v="0"/>
    <n v="378.57"/>
    <n v="378.57"/>
  </r>
  <r>
    <s v="CID116"/>
    <x v="38"/>
    <s v="John"/>
    <s v="Ramirez"/>
    <n v="28"/>
    <x v="2"/>
    <x v="4"/>
    <s v="john.ramirez@outlook.com"/>
    <s v="02797 Martin Landing, South Michelle, VT 98781"/>
    <x v="79"/>
    <d v="2024-05-31T00:00:00"/>
    <s v="10:55:08"/>
    <x v="24"/>
    <n v="481.48"/>
    <n v="4"/>
    <x v="4"/>
    <x v="4"/>
    <n v="1"/>
    <s v="Late_Delivery"/>
    <n v="36"/>
    <n v="4"/>
    <d v="2024-06-04T00:00:00"/>
    <s v="10:56:05"/>
    <m/>
    <n v="1769.3280000000002"/>
    <n v="192.59200000000001"/>
    <n v="1733.3280000000002"/>
    <n v="1925.92"/>
  </r>
  <r>
    <s v="CID134"/>
    <x v="45"/>
    <s v="Debra"/>
    <s v="Hayes"/>
    <n v="33"/>
    <x v="0"/>
    <x v="6"/>
    <s v="debra.hayes@yahoo.com"/>
    <s v="4601 Miller Lock, Williamsbury, IA 10943"/>
    <x v="80"/>
    <d v="2025-01-18T00:00:00"/>
    <s v="19:40:45"/>
    <x v="0"/>
    <n v="308.88"/>
    <n v="3"/>
    <x v="1"/>
    <x v="1"/>
    <n v="4"/>
    <s v="Before_time"/>
    <n v="48"/>
    <n v="3"/>
    <d v="2025-01-21T00:00:00"/>
    <s v="20:24:13"/>
    <m/>
    <n v="835.64400000000001"/>
    <n v="138.99600000000001"/>
    <n v="787.64400000000001"/>
    <n v="926.64"/>
  </r>
  <r>
    <s v="CID179"/>
    <x v="18"/>
    <s v="Christian"/>
    <s v="Clayton"/>
    <n v="39"/>
    <x v="1"/>
    <x v="5"/>
    <s v="christian.clayton@yahoo.com"/>
    <s v="065 Madison Way, Smithstad, CT 68011"/>
    <x v="81"/>
    <d v="2024-08-21T00:00:00"/>
    <s v="02:08:49"/>
    <x v="39"/>
    <n v="403.03"/>
    <n v="1"/>
    <x v="3"/>
    <x v="3"/>
    <n v="3"/>
    <s v="Before_time"/>
    <n v="52"/>
    <n v="1"/>
    <d v="2024-08-22T00:00:00"/>
    <s v="15:38:07"/>
    <m/>
    <n v="374.42399999999998"/>
    <n v="80.605999999999995"/>
    <n v="322.42399999999998"/>
    <n v="403.03"/>
  </r>
  <r>
    <s v="CID144"/>
    <x v="55"/>
    <s v="William"/>
    <s v="Mann"/>
    <n v="21"/>
    <x v="0"/>
    <x v="1"/>
    <s v="william.mann@yahoo.com"/>
    <s v="849 Tran Wells, New Lindsayville, WI 22669"/>
    <x v="82"/>
    <d v="2023-04-25T00:00:00"/>
    <s v="01:05:15"/>
    <x v="4"/>
    <n v="330.11"/>
    <n v="2"/>
    <x v="0"/>
    <x v="0"/>
    <n v="3"/>
    <s v="Late_Delivery"/>
    <n v="64"/>
    <n v="5"/>
    <d v="2023-04-30T00:00:00"/>
    <s v="13:48:26"/>
    <m/>
    <n v="671.40240000000006"/>
    <n v="52.817599999999999"/>
    <n v="607.40240000000006"/>
    <n v="660.22"/>
  </r>
  <r>
    <s v="CID116"/>
    <x v="38"/>
    <s v="John"/>
    <s v="Ramirez"/>
    <n v="28"/>
    <x v="2"/>
    <x v="4"/>
    <s v="john.ramirez@outlook.com"/>
    <s v="02797 Martin Landing, South Michelle, VT 98781"/>
    <x v="83"/>
    <d v="2024-01-31T00:00:00"/>
    <s v="04:27:02"/>
    <x v="20"/>
    <n v="62.42"/>
    <n v="1"/>
    <x v="3"/>
    <x v="3"/>
    <n v="6"/>
    <s v="Late_Delivery"/>
    <n v="53"/>
    <n v="7"/>
    <d v="2024-02-07T00:00:00"/>
    <s v="09:07:52"/>
    <m/>
    <n v="102.93600000000001"/>
    <n v="12.484000000000002"/>
    <n v="49.936000000000007"/>
    <n v="62.42"/>
  </r>
  <r>
    <s v="CID125"/>
    <x v="56"/>
    <s v="Kelli"/>
    <s v="Smith"/>
    <n v="18"/>
    <x v="1"/>
    <x v="1"/>
    <s v="kelli.smith@rediffmail.com"/>
    <s v="788 Kristina Lane, Montoyaside, VA 90756"/>
    <x v="84"/>
    <d v="2024-11-29T00:00:00"/>
    <s v="15:22:10"/>
    <x v="4"/>
    <n v="330.11"/>
    <n v="1"/>
    <x v="3"/>
    <x v="3"/>
    <n v="4"/>
    <s v="Before_time"/>
    <n v="67"/>
    <n v="2"/>
    <d v="2024-12-01T00:00:00"/>
    <s v="13:15:51"/>
    <m/>
    <n v="331.08800000000002"/>
    <n v="66.022000000000006"/>
    <n v="264.08800000000002"/>
    <n v="330.11"/>
  </r>
  <r>
    <s v="CID161"/>
    <x v="26"/>
    <s v="Heather"/>
    <s v="Schneider"/>
    <n v="48"/>
    <x v="1"/>
    <x v="3"/>
    <s v="heather.schneider@outlook.com"/>
    <s v="57940 Susan Creek Apt. 541, Port Aliciamouth, OR 90221"/>
    <x v="85"/>
    <d v="2024-08-01T00:00:00"/>
    <s v="19:45:13"/>
    <x v="7"/>
    <n v="48.45"/>
    <n v="1"/>
    <x v="1"/>
    <x v="1"/>
    <n v="6"/>
    <s v="Late_Delivery"/>
    <n v="66"/>
    <n v="7"/>
    <d v="2024-08-08T00:00:00"/>
    <s v="13:53:47"/>
    <m/>
    <n v="107.1825"/>
    <n v="7.2675000000000001"/>
    <n v="41.182500000000005"/>
    <n v="48.45"/>
  </r>
  <r>
    <s v="CID100"/>
    <x v="48"/>
    <s v="Sharon"/>
    <s v="Thompson"/>
    <n v="57"/>
    <x v="1"/>
    <x v="7"/>
    <s v="sharon.thompson@yahoo.com"/>
    <s v="598 Jasmine Harbor, Turnerberg, SD 02371"/>
    <x v="86"/>
    <d v="2023-11-22T00:00:00"/>
    <s v="01:09:33"/>
    <x v="3"/>
    <n v="405"/>
    <n v="2"/>
    <x v="2"/>
    <x v="2"/>
    <n v="4"/>
    <s v="Late_Delivery"/>
    <n v="70"/>
    <n v="5"/>
    <d v="2023-11-27T00:00:00"/>
    <s v="21:18:20"/>
    <m/>
    <n v="880"/>
    <n v="0"/>
    <n v="810"/>
    <n v="810"/>
  </r>
  <r>
    <s v="CID100"/>
    <x v="48"/>
    <s v="Sharon"/>
    <s v="Thompson"/>
    <n v="57"/>
    <x v="1"/>
    <x v="7"/>
    <s v="sharon.thompson@yahoo.com"/>
    <s v="598 Jasmine Harbor, Turnerberg, SD 02371"/>
    <x v="87"/>
    <d v="2024-10-30T00:00:00"/>
    <s v="07:05:58"/>
    <x v="27"/>
    <n v="496.59"/>
    <n v="2"/>
    <x v="4"/>
    <x v="4"/>
    <n v="1"/>
    <s v="Late_Delivery"/>
    <n v="46"/>
    <n v="3"/>
    <d v="2024-11-02T00:00:00"/>
    <s v="17:13:41"/>
    <m/>
    <n v="939.86199999999997"/>
    <n v="99.317999999999998"/>
    <n v="893.86199999999997"/>
    <n v="993.18"/>
  </r>
  <r>
    <s v="CID152"/>
    <x v="6"/>
    <s v="Marcus"/>
    <s v="Valenzuela"/>
    <n v="39"/>
    <x v="0"/>
    <x v="0"/>
    <s v="marcus.valenzuela@yahoo.com"/>
    <s v="694 Graham Prairie Apt. 887, Jimenezfurt, MI 33044"/>
    <x v="88"/>
    <d v="2023-10-28T00:00:00"/>
    <s v="07:48:29"/>
    <x v="7"/>
    <n v="48.45"/>
    <n v="1"/>
    <x v="3"/>
    <x v="3"/>
    <n v="4"/>
    <s v="Before_time"/>
    <n v="66"/>
    <n v="1"/>
    <d v="2023-10-29T00:00:00"/>
    <s v="23:09:43"/>
    <m/>
    <n v="104.76"/>
    <n v="9.69"/>
    <n v="38.760000000000005"/>
    <n v="48.45"/>
  </r>
  <r>
    <s v="CID139"/>
    <x v="57"/>
    <s v="Joseph"/>
    <s v="Gaines"/>
    <n v="47"/>
    <x v="2"/>
    <x v="2"/>
    <s v="joseph.gaines@outlook.com"/>
    <s v="37549 Pope Isle Apt. 202, Tylerborough, MO 60042"/>
    <x v="89"/>
    <d v="2023-05-30T00:00:00"/>
    <s v="12:17:34"/>
    <x v="28"/>
    <n v="431.44"/>
    <n v="1"/>
    <x v="2"/>
    <x v="2"/>
    <n v="7"/>
    <s v="Before_time"/>
    <n v="35"/>
    <n v="4"/>
    <d v="2023-06-03T00:00:00"/>
    <s v="11:02:15"/>
    <m/>
    <n v="466.44"/>
    <n v="0"/>
    <n v="431.44"/>
    <n v="431.44"/>
  </r>
  <r>
    <s v="CID176"/>
    <x v="12"/>
    <s v="Joshua"/>
    <s v="Campbell"/>
    <n v="24"/>
    <x v="0"/>
    <x v="5"/>
    <s v="joshua.campbell@gmail.com"/>
    <s v="70426 Lindsey Overpass Apt. 030, Jessicafurt, AR 46269"/>
    <x v="90"/>
    <d v="2024-09-20T00:00:00"/>
    <s v="19:02:37"/>
    <x v="31"/>
    <n v="286.07"/>
    <n v="5"/>
    <x v="1"/>
    <x v="1"/>
    <n v="5"/>
    <s v="Before_time"/>
    <n v="65"/>
    <n v="3"/>
    <d v="2024-09-23T00:00:00"/>
    <s v="00:56:16"/>
    <m/>
    <n v="1280.7974999999999"/>
    <n v="214.55250000000001"/>
    <n v="1215.7974999999999"/>
    <n v="1430.35"/>
  </r>
  <r>
    <s v="CID116"/>
    <x v="38"/>
    <s v="John"/>
    <s v="Ramirez"/>
    <n v="28"/>
    <x v="2"/>
    <x v="4"/>
    <s v="john.ramirez@outlook.com"/>
    <s v="02797 Martin Landing, South Michelle, VT 98781"/>
    <x v="91"/>
    <d v="2024-07-22T00:00:00"/>
    <s v="03:34:35"/>
    <x v="17"/>
    <n v="126.19"/>
    <n v="2"/>
    <x v="0"/>
    <x v="0"/>
    <n v="7"/>
    <s v="Before_time"/>
    <n v="48"/>
    <n v="1"/>
    <d v="2024-07-23T00:00:00"/>
    <s v="00:26:45"/>
    <m/>
    <n v="280.18960000000004"/>
    <n v="20.1904"/>
    <n v="232.18960000000001"/>
    <n v="252.38"/>
  </r>
  <r>
    <s v="CID191"/>
    <x v="24"/>
    <s v="Lauren"/>
    <s v="Long"/>
    <n v="44"/>
    <x v="0"/>
    <x v="7"/>
    <s v="lauren.long@gmail.com"/>
    <s v="258 Michael Brooks Suite 363, Arnoldview, PA 49438"/>
    <x v="92"/>
    <d v="2024-01-16T00:00:00"/>
    <s v="17:05:21"/>
    <x v="40"/>
    <n v="445.81"/>
    <n v="5"/>
    <x v="1"/>
    <x v="1"/>
    <n v="1"/>
    <s v="Late_Delivery"/>
    <n v="56"/>
    <n v="6"/>
    <d v="2024-01-22T00:00:00"/>
    <s v="06:56:06"/>
    <m/>
    <n v="1950.6925000000001"/>
    <n v="334.35750000000002"/>
    <n v="1894.6925000000001"/>
    <n v="2229.0500000000002"/>
  </r>
  <r>
    <s v="CID118"/>
    <x v="58"/>
    <s v="Amy"/>
    <s v="Ellis"/>
    <n v="44"/>
    <x v="2"/>
    <x v="3"/>
    <s v="amy.ellis@gmail.com"/>
    <s v="217 Scott Ville, Christophermouth, NH 83776"/>
    <x v="93"/>
    <d v="2024-11-29T00:00:00"/>
    <s v="23:41:08"/>
    <x v="30"/>
    <n v="369.03"/>
    <n v="4"/>
    <x v="3"/>
    <x v="3"/>
    <n v="4"/>
    <s v="Late_Delivery"/>
    <n v="56"/>
    <n v="5"/>
    <d v="2024-12-04T00:00:00"/>
    <s v="01:56:42"/>
    <m/>
    <n v="1236.896"/>
    <n v="295.22399999999999"/>
    <n v="1180.896"/>
    <n v="1476.12"/>
  </r>
  <r>
    <s v="CID140"/>
    <x v="59"/>
    <s v="Beth"/>
    <s v="Mason"/>
    <n v="45"/>
    <x v="2"/>
    <x v="3"/>
    <s v="beth.mason@outlook.com"/>
    <s v="58998 Sherry Haven, East Richard, FL 90775"/>
    <x v="94"/>
    <d v="2024-07-31T00:00:00"/>
    <s v="04:48:30"/>
    <x v="41"/>
    <n v="433.62"/>
    <n v="2"/>
    <x v="3"/>
    <x v="3"/>
    <n v="1"/>
    <s v="Late_Delivery"/>
    <n v="41"/>
    <n v="6"/>
    <d v="2024-08-06T00:00:00"/>
    <s v="10:01:40"/>
    <m/>
    <n v="734.79200000000003"/>
    <n v="173.44799999999998"/>
    <n v="693.79200000000003"/>
    <n v="867.24"/>
  </r>
  <r>
    <s v="CID195"/>
    <x v="49"/>
    <s v="Sarah"/>
    <s v="Butler"/>
    <n v="64"/>
    <x v="0"/>
    <x v="0"/>
    <s v="sarah.butler@rediffmail.com"/>
    <s v="14131 Edwin Shore Apt. 190, Deniseberg, MD 90905"/>
    <x v="95"/>
    <d v="2024-07-15T00:00:00"/>
    <s v="17:09:49"/>
    <x v="42"/>
    <n v="235.63"/>
    <n v="4"/>
    <x v="3"/>
    <x v="3"/>
    <n v="2"/>
    <s v="Late_Delivery"/>
    <n v="60"/>
    <n v="7"/>
    <d v="2024-07-22T00:00:00"/>
    <s v="22:15:50"/>
    <m/>
    <n v="814.01600000000008"/>
    <n v="188.50400000000002"/>
    <n v="754.01600000000008"/>
    <n v="942.52"/>
  </r>
  <r>
    <s v="CID182"/>
    <x v="20"/>
    <s v="John"/>
    <s v="Herrera"/>
    <n v="64"/>
    <x v="1"/>
    <x v="1"/>
    <s v="john.herrera@outlook.com"/>
    <s v="61263 Jacob Isle, Amandatown, TN 34321"/>
    <x v="96"/>
    <d v="2023-07-11T00:00:00"/>
    <s v="07:51:16"/>
    <x v="22"/>
    <n v="158.53"/>
    <n v="5"/>
    <x v="3"/>
    <x v="3"/>
    <n v="1"/>
    <s v="Late_Delivery"/>
    <n v="57"/>
    <n v="7"/>
    <d v="2023-07-18T00:00:00"/>
    <s v="06:23:31"/>
    <m/>
    <n v="691.12"/>
    <n v="158.53"/>
    <n v="634.12"/>
    <n v="792.65"/>
  </r>
  <r>
    <s v="CID182"/>
    <x v="20"/>
    <s v="John"/>
    <s v="Herrera"/>
    <n v="64"/>
    <x v="1"/>
    <x v="1"/>
    <s v="john.herrera@outlook.com"/>
    <s v="61263 Jacob Isle, Amandatown, TN 34321"/>
    <x v="97"/>
    <d v="2023-09-14T00:00:00"/>
    <s v="21:43:03"/>
    <x v="4"/>
    <n v="330.11"/>
    <n v="3"/>
    <x v="1"/>
    <x v="1"/>
    <n v="3"/>
    <s v="On_time"/>
    <n v="65"/>
    <n v="3"/>
    <d v="2023-09-17T00:00:00"/>
    <s v="01:29:42"/>
    <m/>
    <n v="906.78049999999996"/>
    <n v="148.54949999999999"/>
    <n v="841.78049999999996"/>
    <n v="990.33"/>
  </r>
  <r>
    <s v="CID140"/>
    <x v="59"/>
    <s v="Beth"/>
    <s v="Mason"/>
    <n v="45"/>
    <x v="2"/>
    <x v="3"/>
    <s v="beth.mason@outlook.com"/>
    <s v="58998 Sherry Haven, East Richard, FL 90775"/>
    <x v="98"/>
    <d v="2025-01-16T00:00:00"/>
    <s v="07:53:58"/>
    <x v="11"/>
    <n v="220.27"/>
    <n v="2"/>
    <x v="3"/>
    <x v="3"/>
    <n v="1"/>
    <s v="Late_Delivery"/>
    <n v="63"/>
    <n v="2"/>
    <d v="2025-01-18T00:00:00"/>
    <s v="10:10:26"/>
    <m/>
    <n v="415.43200000000002"/>
    <n v="88.108000000000004"/>
    <n v="352.43200000000002"/>
    <n v="440.54"/>
  </r>
  <r>
    <s v="CID144"/>
    <x v="55"/>
    <s v="William"/>
    <s v="Mann"/>
    <n v="21"/>
    <x v="0"/>
    <x v="1"/>
    <s v="william.mann@yahoo.com"/>
    <s v="849 Tran Wells, New Lindsayville, WI 22669"/>
    <x v="99"/>
    <d v="2024-01-30T00:00:00"/>
    <s v="01:16:21"/>
    <x v="6"/>
    <n v="275.44"/>
    <n v="3"/>
    <x v="1"/>
    <x v="1"/>
    <n v="7"/>
    <s v="Before_time"/>
    <n v="47"/>
    <n v="1"/>
    <d v="2024-01-31T00:00:00"/>
    <s v="17:07:06"/>
    <m/>
    <n v="749.37199999999996"/>
    <n v="123.94799999999999"/>
    <n v="702.37199999999996"/>
    <n v="826.31999999999994"/>
  </r>
  <r>
    <s v="CID123"/>
    <x v="60"/>
    <s v="Christy"/>
    <s v="Chang"/>
    <n v="38"/>
    <x v="1"/>
    <x v="7"/>
    <s v="christy.chang@outlook.com"/>
    <s v="4647 Hannah Centers, Rhodesburgh, NH 89363"/>
    <x v="100"/>
    <d v="2023-10-04T00:00:00"/>
    <s v="02:43:38"/>
    <x v="38"/>
    <n v="477.52"/>
    <n v="3"/>
    <x v="0"/>
    <x v="0"/>
    <n v="7"/>
    <s v="Before_time"/>
    <n v="66"/>
    <n v="5"/>
    <d v="2023-10-09T00:00:00"/>
    <s v="02:45:47"/>
    <m/>
    <n v="1383.9552000000001"/>
    <n v="114.6048"/>
    <n v="1317.9552000000001"/>
    <n v="1432.56"/>
  </r>
  <r>
    <s v="CID183"/>
    <x v="61"/>
    <s v="Troy"/>
    <s v="Gomez"/>
    <n v="68"/>
    <x v="0"/>
    <x v="7"/>
    <s v="troy.gomez@outlook.com"/>
    <s v="7510 Jose Knolls, Candicechester, LA 62815"/>
    <x v="101"/>
    <d v="2024-12-10T00:00:00"/>
    <s v="13:25:18"/>
    <x v="43"/>
    <n v="424.82"/>
    <n v="1"/>
    <x v="2"/>
    <x v="2"/>
    <n v="6"/>
    <s v="Before_time"/>
    <n v="44"/>
    <n v="2"/>
    <d v="2024-12-12T00:00:00"/>
    <s v="14:51:25"/>
    <m/>
    <n v="468.82"/>
    <n v="0"/>
    <n v="424.82"/>
    <n v="424.82"/>
  </r>
  <r>
    <s v="CID143"/>
    <x v="62"/>
    <s v="Kim"/>
    <s v="Blevins"/>
    <n v="65"/>
    <x v="1"/>
    <x v="3"/>
    <s v="kim.blevins@outlook.com"/>
    <s v="089 Rice Shoal Suite 491, Juarezmouth, MI 88715"/>
    <x v="102"/>
    <d v="2023-08-27T00:00:00"/>
    <s v="18:32:14"/>
    <x v="30"/>
    <n v="369.03"/>
    <n v="4"/>
    <x v="0"/>
    <x v="0"/>
    <n v="3"/>
    <s v="Late_Delivery"/>
    <n v="56"/>
    <n v="4"/>
    <d v="2023-08-31T00:00:00"/>
    <s v="06:09:27"/>
    <m/>
    <n v="1414.0303999999999"/>
    <n v="118.08959999999999"/>
    <n v="1358.0303999999999"/>
    <n v="1476.12"/>
  </r>
  <r>
    <s v="CID111"/>
    <x v="42"/>
    <s v="Brian"/>
    <s v="Kennedy"/>
    <n v="69"/>
    <x v="0"/>
    <x v="0"/>
    <s v="brian.kennedy@outlook.com"/>
    <s v="25126 Nancy Fort Suite 568, Alexandrachester, AZ 44823"/>
    <x v="103"/>
    <d v="2024-07-11T00:00:00"/>
    <s v="21:12:50"/>
    <x v="34"/>
    <n v="136.30000000000001"/>
    <n v="2"/>
    <x v="4"/>
    <x v="4"/>
    <n v="1"/>
    <s v="On_time"/>
    <n v="54"/>
    <n v="1"/>
    <d v="2024-07-12T00:00:00"/>
    <s v="09:07:45"/>
    <m/>
    <n v="299.34000000000003"/>
    <n v="27.26"/>
    <n v="245.34000000000003"/>
    <n v="272.60000000000002"/>
  </r>
  <r>
    <s v="CID116"/>
    <x v="38"/>
    <s v="John"/>
    <s v="Ramirez"/>
    <n v="28"/>
    <x v="2"/>
    <x v="4"/>
    <s v="john.ramirez@outlook.com"/>
    <s v="02797 Martin Landing, South Michelle, VT 98781"/>
    <x v="104"/>
    <d v="2023-07-06T00:00:00"/>
    <s v="17:19:09"/>
    <x v="11"/>
    <n v="220.27"/>
    <n v="4"/>
    <x v="3"/>
    <x v="3"/>
    <n v="4"/>
    <s v="On_time"/>
    <n v="65"/>
    <n v="4"/>
    <d v="2023-07-10T00:00:00"/>
    <s v="09:03:23"/>
    <m/>
    <n v="769.86400000000003"/>
    <n v="176.21600000000001"/>
    <n v="704.86400000000003"/>
    <n v="881.08"/>
  </r>
  <r>
    <s v="CID144"/>
    <x v="55"/>
    <s v="William"/>
    <s v="Mann"/>
    <n v="21"/>
    <x v="0"/>
    <x v="1"/>
    <s v="william.mann@yahoo.com"/>
    <s v="849 Tran Wells, New Lindsayville, WI 22669"/>
    <x v="105"/>
    <d v="2024-08-26T00:00:00"/>
    <s v="15:04:45"/>
    <x v="37"/>
    <n v="133.62"/>
    <n v="5"/>
    <x v="1"/>
    <x v="1"/>
    <n v="6"/>
    <s v="Before_time"/>
    <n v="64"/>
    <n v="2"/>
    <d v="2024-08-28T00:00:00"/>
    <s v="19:43:27"/>
    <m/>
    <n v="631.88499999999999"/>
    <n v="100.215"/>
    <n v="567.88499999999999"/>
    <n v="668.1"/>
  </r>
  <r>
    <s v="CID156"/>
    <x v="63"/>
    <s v="Gregory"/>
    <s v="Lee"/>
    <n v="26"/>
    <x v="2"/>
    <x v="2"/>
    <s v="gregory.lee@rediffmail.com"/>
    <s v="619 Parker Turnpike Apt. 025, West Brucehaven, ID 48437"/>
    <x v="106"/>
    <d v="2024-05-20T00:00:00"/>
    <s v="18:15:56"/>
    <x v="0"/>
    <n v="308.88"/>
    <n v="2"/>
    <x v="3"/>
    <x v="3"/>
    <n v="4"/>
    <s v="On_time"/>
    <n v="61"/>
    <n v="4"/>
    <d v="2024-05-24T00:00:00"/>
    <s v="04:57:03"/>
    <m/>
    <n v="555.20800000000008"/>
    <n v="123.55200000000001"/>
    <n v="494.20800000000003"/>
    <n v="617.76"/>
  </r>
  <r>
    <s v="CID158"/>
    <x v="21"/>
    <s v="Angela"/>
    <s v="Evans"/>
    <n v="52"/>
    <x v="2"/>
    <x v="1"/>
    <s v="angela.evans@outlook.com"/>
    <s v="16031 David Mountain Suite 431, Susanborough, PA 01910"/>
    <x v="107"/>
    <d v="2024-05-15T00:00:00"/>
    <s v="00:17:47"/>
    <x v="15"/>
    <n v="461.07"/>
    <n v="1"/>
    <x v="3"/>
    <x v="3"/>
    <n v="7"/>
    <s v="On_time"/>
    <n v="57"/>
    <n v="7"/>
    <d v="2024-05-22T00:00:00"/>
    <s v="21:42:51"/>
    <m/>
    <n v="425.85599999999999"/>
    <n v="92.213999999999999"/>
    <n v="368.85599999999999"/>
    <n v="461.07"/>
  </r>
  <r>
    <s v="CID170"/>
    <x v="64"/>
    <s v="Bruce"/>
    <s v="Allen"/>
    <n v="32"/>
    <x v="1"/>
    <x v="0"/>
    <s v="bruce.allen@rediffmail.com"/>
    <s v="2417 Brown Ford, West Timothyside, RI 45629"/>
    <x v="108"/>
    <d v="2023-04-05T00:00:00"/>
    <s v="01:46:15"/>
    <x v="27"/>
    <n v="496.59"/>
    <n v="5"/>
    <x v="3"/>
    <x v="3"/>
    <n v="1"/>
    <s v="Late_Delivery"/>
    <n v="40"/>
    <n v="4"/>
    <d v="2023-04-09T00:00:00"/>
    <s v="22:28:20"/>
    <m/>
    <n v="2026.36"/>
    <n v="496.59"/>
    <n v="1986.36"/>
    <n v="2482.9499999999998"/>
  </r>
  <r>
    <s v="CID107"/>
    <x v="65"/>
    <s v="Lisa"/>
    <s v="Miller"/>
    <n v="70"/>
    <x v="1"/>
    <x v="3"/>
    <s v="lisa.miller@gmail.com"/>
    <s v="89748 Campbell Drive, South Tannerland, WI 13143"/>
    <x v="109"/>
    <d v="2023-03-20T00:00:00"/>
    <s v="09:44:25"/>
    <x v="13"/>
    <n v="104.18"/>
    <n v="2"/>
    <x v="0"/>
    <x v="0"/>
    <n v="2"/>
    <s v="Late_Delivery"/>
    <n v="40"/>
    <n v="5"/>
    <d v="2023-03-25T00:00:00"/>
    <s v="09:50:58"/>
    <m/>
    <n v="231.69120000000001"/>
    <n v="16.668800000000001"/>
    <n v="191.69120000000001"/>
    <n v="208.36"/>
  </r>
  <r>
    <s v="CID185"/>
    <x v="66"/>
    <s v="Melissa"/>
    <s v="Levy"/>
    <n v="30"/>
    <x v="0"/>
    <x v="5"/>
    <s v="melissa.levy@rediffmail.com"/>
    <s v="3303 Kennedy Springs Suite 830, East Amybury, MI 95595"/>
    <x v="110"/>
    <d v="2024-04-24T00:00:00"/>
    <s v="20:32:03"/>
    <x v="44"/>
    <n v="110.95"/>
    <n v="2"/>
    <x v="0"/>
    <x v="0"/>
    <n v="4"/>
    <s v="Before_time"/>
    <n v="68"/>
    <n v="2"/>
    <d v="2024-04-26T00:00:00"/>
    <s v="16:26:05"/>
    <m/>
    <n v="272.14800000000002"/>
    <n v="17.751999999999999"/>
    <n v="204.14800000000002"/>
    <n v="221.9"/>
  </r>
  <r>
    <s v="CID140"/>
    <x v="59"/>
    <s v="Beth"/>
    <s v="Mason"/>
    <n v="45"/>
    <x v="2"/>
    <x v="3"/>
    <s v="beth.mason@outlook.com"/>
    <s v="58998 Sherry Haven, East Richard, FL 90775"/>
    <x v="111"/>
    <d v="2025-01-08T00:00:00"/>
    <s v="12:57:10"/>
    <x v="27"/>
    <n v="496.59"/>
    <n v="2"/>
    <x v="2"/>
    <x v="2"/>
    <n v="5"/>
    <s v="Before_time"/>
    <n v="40"/>
    <n v="2"/>
    <d v="2025-01-10T00:00:00"/>
    <s v="19:04:22"/>
    <m/>
    <n v="1033.1799999999998"/>
    <n v="0"/>
    <n v="993.18"/>
    <n v="993.18"/>
  </r>
  <r>
    <s v="CID153"/>
    <x v="47"/>
    <s v="Mitchell"/>
    <s v="Parker"/>
    <n v="39"/>
    <x v="2"/>
    <x v="1"/>
    <s v="mitchell.parker@yahoo.com"/>
    <s v="PSC 3316, Box 9303, APO AE 29513"/>
    <x v="112"/>
    <d v="2024-04-15T00:00:00"/>
    <s v="14:16:13"/>
    <x v="8"/>
    <n v="257.06"/>
    <n v="4"/>
    <x v="3"/>
    <x v="3"/>
    <n v="3"/>
    <s v="Late_Delivery"/>
    <n v="50"/>
    <n v="4"/>
    <d v="2024-04-19T00:00:00"/>
    <s v="11:54:49"/>
    <m/>
    <n v="872.5920000000001"/>
    <n v="205.648"/>
    <n v="822.5920000000001"/>
    <n v="1028.24"/>
  </r>
  <r>
    <s v="CID139"/>
    <x v="57"/>
    <s v="Joseph"/>
    <s v="Gaines"/>
    <n v="47"/>
    <x v="2"/>
    <x v="2"/>
    <s v="joseph.gaines@outlook.com"/>
    <s v="37549 Pope Isle Apt. 202, Tylerborough, MO 60042"/>
    <x v="113"/>
    <d v="2024-04-15T00:00:00"/>
    <s v="05:44:11"/>
    <x v="45"/>
    <n v="381.73"/>
    <n v="4"/>
    <x v="4"/>
    <x v="4"/>
    <n v="1"/>
    <s v="Late_Delivery"/>
    <n v="66"/>
    <n v="3"/>
    <d v="2024-04-18T00:00:00"/>
    <s v="18:54:47"/>
    <m/>
    <n v="1440.2280000000001"/>
    <n v="152.69200000000001"/>
    <n v="1374.2280000000001"/>
    <n v="1526.92"/>
  </r>
  <r>
    <s v="CID194"/>
    <x v="67"/>
    <s v="Barbara"/>
    <s v="Fuller"/>
    <n v="43"/>
    <x v="2"/>
    <x v="5"/>
    <s v="barbara.fuller@rediffmail.com"/>
    <s v="134 Mcintosh Unions Suite 574, Lake Laura, DE 96577"/>
    <x v="114"/>
    <d v="2023-12-16T00:00:00"/>
    <s v="19:28:31"/>
    <x v="28"/>
    <n v="431.44"/>
    <n v="5"/>
    <x v="1"/>
    <x v="1"/>
    <n v="4"/>
    <s v="On_time"/>
    <n v="42"/>
    <n v="4"/>
    <d v="2023-12-20T00:00:00"/>
    <s v="16:45:09"/>
    <m/>
    <n v="1875.62"/>
    <n v="323.58"/>
    <n v="1833.62"/>
    <n v="2157.1999999999998"/>
  </r>
  <r>
    <s v="CID192"/>
    <x v="52"/>
    <s v="Brandon"/>
    <s v="Cruz"/>
    <n v="32"/>
    <x v="2"/>
    <x v="3"/>
    <s v="brandon.cruz@gmail.com"/>
    <s v="9296 Villanueva Branch, East Kevin, CO 93912"/>
    <x v="115"/>
    <d v="2023-07-24T00:00:00"/>
    <s v="06:22:42"/>
    <x v="9"/>
    <n v="175.93"/>
    <n v="5"/>
    <x v="2"/>
    <x v="2"/>
    <n v="5"/>
    <s v="Late_Delivery"/>
    <n v="63"/>
    <n v="7"/>
    <d v="2023-07-31T00:00:00"/>
    <s v="11:58:32"/>
    <m/>
    <n v="942.65000000000009"/>
    <n v="0"/>
    <n v="879.65000000000009"/>
    <n v="879.65000000000009"/>
  </r>
  <r>
    <s v="CID101"/>
    <x v="8"/>
    <s v="Bobby"/>
    <s v="Forbes"/>
    <n v="20"/>
    <x v="0"/>
    <x v="3"/>
    <s v="bobby.forbes@gmail.com"/>
    <s v="3079 John Parkway Suite 961, Port Kristaview, MT 91019"/>
    <x v="116"/>
    <d v="2023-08-18T00:00:00"/>
    <s v="03:53:04"/>
    <x v="2"/>
    <n v="202.54"/>
    <n v="5"/>
    <x v="0"/>
    <x v="0"/>
    <n v="2"/>
    <s v="Late_Delivery"/>
    <n v="68"/>
    <n v="3"/>
    <d v="2023-08-21T00:00:00"/>
    <s v="15:27:26"/>
    <m/>
    <n v="999.68399999999997"/>
    <n v="81.015999999999991"/>
    <n v="931.68399999999997"/>
    <n v="1012.6999999999999"/>
  </r>
  <r>
    <s v="CID125"/>
    <x v="56"/>
    <s v="Kelli"/>
    <s v="Smith"/>
    <n v="18"/>
    <x v="1"/>
    <x v="1"/>
    <s v="kelli.smith@rediffmail.com"/>
    <s v="788 Kristina Lane, Montoyaside, VA 90756"/>
    <x v="117"/>
    <d v="2023-04-07T00:00:00"/>
    <s v="13:06:48"/>
    <x v="8"/>
    <n v="257.06"/>
    <n v="4"/>
    <x v="4"/>
    <x v="4"/>
    <n v="1"/>
    <s v="Late_Delivery"/>
    <n v="65"/>
    <n v="2"/>
    <d v="2023-04-09T00:00:00"/>
    <s v="01:22:23"/>
    <m/>
    <n v="990.41600000000005"/>
    <n v="102.824"/>
    <n v="925.41600000000005"/>
    <n v="1028.24"/>
  </r>
  <r>
    <s v="CID188"/>
    <x v="68"/>
    <s v="Kristina"/>
    <s v="Haynes"/>
    <n v="27"/>
    <x v="0"/>
    <x v="1"/>
    <s v="kristina.haynes@yahoo.com"/>
    <s v="18295 Thomas River, Kochville, NH 80868"/>
    <x v="118"/>
    <d v="2023-09-14T00:00:00"/>
    <s v="10:28:03"/>
    <x v="46"/>
    <n v="20"/>
    <n v="1"/>
    <x v="4"/>
    <x v="4"/>
    <n v="4"/>
    <s v="Before_time"/>
    <n v="68"/>
    <n v="2"/>
    <d v="2023-09-16T00:00:00"/>
    <s v="23:08:52"/>
    <m/>
    <n v="86"/>
    <n v="2"/>
    <n v="18"/>
    <n v="20"/>
  </r>
  <r>
    <s v="CID112"/>
    <x v="69"/>
    <s v="Lindsey"/>
    <s v="Byrd"/>
    <n v="32"/>
    <x v="0"/>
    <x v="5"/>
    <s v="lindsey.byrd@rediffmail.com"/>
    <s v="USCGC Harper, FPO AA 38349"/>
    <x v="119"/>
    <d v="2023-06-29T00:00:00"/>
    <s v="22:11:06"/>
    <x v="14"/>
    <n v="20.7"/>
    <n v="2"/>
    <x v="2"/>
    <x v="2"/>
    <n v="7"/>
    <s v="Before_time"/>
    <n v="43"/>
    <n v="1"/>
    <d v="2023-06-30T00:00:00"/>
    <s v="11:35:56"/>
    <m/>
    <n v="84.4"/>
    <n v="0"/>
    <n v="41.4"/>
    <n v="41.4"/>
  </r>
  <r>
    <s v="CID176"/>
    <x v="12"/>
    <s v="Joshua"/>
    <s v="Campbell"/>
    <n v="24"/>
    <x v="0"/>
    <x v="5"/>
    <s v="joshua.campbell@gmail.com"/>
    <s v="70426 Lindsey Overpass Apt. 030, Jessicafurt, AR 46269"/>
    <x v="120"/>
    <d v="2023-03-18T00:00:00"/>
    <s v="14:00:52"/>
    <x v="45"/>
    <n v="381.73"/>
    <n v="2"/>
    <x v="2"/>
    <x v="2"/>
    <n v="6"/>
    <s v="Before_time"/>
    <n v="41"/>
    <n v="5"/>
    <d v="2023-03-23T00:00:00"/>
    <s v="04:39:06"/>
    <m/>
    <n v="804.46"/>
    <n v="0"/>
    <n v="763.46"/>
    <n v="763.46"/>
  </r>
  <r>
    <s v="CID161"/>
    <x v="26"/>
    <s v="Heather"/>
    <s v="Schneider"/>
    <n v="48"/>
    <x v="1"/>
    <x v="3"/>
    <s v="heather.schneider@outlook.com"/>
    <s v="57940 Susan Creek Apt. 541, Port Aliciamouth, OR 90221"/>
    <x v="121"/>
    <d v="2024-07-26T00:00:00"/>
    <s v="07:11:09"/>
    <x v="24"/>
    <n v="481.48"/>
    <n v="1"/>
    <x v="0"/>
    <x v="0"/>
    <n v="1"/>
    <s v="Late_Delivery"/>
    <n v="69"/>
    <n v="4"/>
    <d v="2024-07-30T00:00:00"/>
    <s v="14:05:53"/>
    <m/>
    <n v="511.96160000000003"/>
    <n v="38.5184"/>
    <n v="442.96160000000003"/>
    <n v="481.48"/>
  </r>
  <r>
    <s v="CID103"/>
    <x v="51"/>
    <s v="Jason"/>
    <s v="Nguyen"/>
    <n v="51"/>
    <x v="2"/>
    <x v="4"/>
    <s v="jason.nguyen@yahoo.com"/>
    <s v="7112 Travis Glens Suite 790, Crystalland, WV 38373"/>
    <x v="122"/>
    <d v="2024-02-13T00:00:00"/>
    <s v="12:09:51"/>
    <x v="25"/>
    <n v="77.84"/>
    <n v="2"/>
    <x v="0"/>
    <x v="0"/>
    <n v="6"/>
    <s v="On_time"/>
    <n v="36"/>
    <n v="6"/>
    <d v="2024-02-19T00:00:00"/>
    <s v="05:11:05"/>
    <m/>
    <n v="179.22560000000001"/>
    <n v="12.4544"/>
    <n v="143.22560000000001"/>
    <n v="155.68"/>
  </r>
  <r>
    <s v="CID187"/>
    <x v="36"/>
    <s v="Jason"/>
    <s v="Lopez"/>
    <n v="40"/>
    <x v="2"/>
    <x v="6"/>
    <s v="jason.lopez@outlook.com"/>
    <s v="934 Levine View, Brentport, NE 38210"/>
    <x v="123"/>
    <d v="2023-09-17T00:00:00"/>
    <s v="10:51:20"/>
    <x v="34"/>
    <n v="136.30000000000001"/>
    <n v="1"/>
    <x v="3"/>
    <x v="3"/>
    <n v="4"/>
    <s v="Before_time"/>
    <n v="41"/>
    <n v="3"/>
    <d v="2023-09-20T00:00:00"/>
    <s v="23:53:27"/>
    <m/>
    <n v="150.04000000000002"/>
    <n v="27.26"/>
    <n v="109.04000000000002"/>
    <n v="136.30000000000001"/>
  </r>
  <r>
    <s v="CID116"/>
    <x v="38"/>
    <s v="John"/>
    <s v="Ramirez"/>
    <n v="28"/>
    <x v="2"/>
    <x v="4"/>
    <s v="john.ramirez@outlook.com"/>
    <s v="02797 Martin Landing, South Michelle, VT 98781"/>
    <x v="124"/>
    <d v="2023-10-14T00:00:00"/>
    <s v="23:40:15"/>
    <x v="43"/>
    <n v="424.82"/>
    <n v="3"/>
    <x v="0"/>
    <x v="0"/>
    <n v="2"/>
    <s v="On_time"/>
    <n v="67"/>
    <n v="2"/>
    <d v="2023-10-16T00:00:00"/>
    <s v="20:14:00"/>
    <m/>
    <n v="1239.5032000000001"/>
    <n v="101.9568"/>
    <n v="1172.5032000000001"/>
    <n v="1274.46"/>
  </r>
  <r>
    <s v="CID128"/>
    <x v="16"/>
    <s v="Traci"/>
    <s v="Jones"/>
    <n v="34"/>
    <x v="0"/>
    <x v="3"/>
    <s v="traci.jones@yahoo.com"/>
    <s v="4016 Ryan Passage, Collinsside, PA 88777"/>
    <x v="125"/>
    <d v="2025-01-10T00:00:00"/>
    <s v="01:24:01"/>
    <x v="34"/>
    <n v="136.30000000000001"/>
    <n v="2"/>
    <x v="4"/>
    <x v="4"/>
    <n v="3"/>
    <s v="Late_Delivery"/>
    <n v="68"/>
    <n v="7"/>
    <d v="2025-01-17T00:00:00"/>
    <s v="16:29:02"/>
    <m/>
    <n v="313.34000000000003"/>
    <n v="27.26"/>
    <n v="245.34000000000003"/>
    <n v="272.60000000000002"/>
  </r>
  <r>
    <s v="CID178"/>
    <x v="11"/>
    <s v="Amy"/>
    <s v="Reid"/>
    <n v="44"/>
    <x v="1"/>
    <x v="3"/>
    <s v="amy.reid@rediffmail.com"/>
    <s v="6262 Simpson Village, North Danielle, RI 76074"/>
    <x v="126"/>
    <d v="2024-12-10T00:00:00"/>
    <s v="11:34:01"/>
    <x v="28"/>
    <n v="431.44"/>
    <n v="4"/>
    <x v="1"/>
    <x v="1"/>
    <n v="2"/>
    <s v="Before_time"/>
    <n v="66"/>
    <n v="1"/>
    <d v="2024-12-11T00:00:00"/>
    <s v="11:25:35"/>
    <m/>
    <n v="1532.896"/>
    <n v="258.86400000000003"/>
    <n v="1466.896"/>
    <n v="1725.76"/>
  </r>
  <r>
    <s v="CID156"/>
    <x v="63"/>
    <s v="Gregory"/>
    <s v="Lee"/>
    <n v="26"/>
    <x v="2"/>
    <x v="2"/>
    <s v="gregory.lee@rediffmail.com"/>
    <s v="619 Parker Turnpike Apt. 025, West Brucehaven, ID 48437"/>
    <x v="127"/>
    <d v="2024-06-07T00:00:00"/>
    <s v="02:04:13"/>
    <x v="16"/>
    <n v="132.97"/>
    <n v="5"/>
    <x v="3"/>
    <x v="3"/>
    <n v="3"/>
    <s v="Before_time"/>
    <n v="45"/>
    <n v="2"/>
    <d v="2024-06-09T00:00:00"/>
    <s v="19:20:55"/>
    <m/>
    <n v="576.88"/>
    <n v="132.97"/>
    <n v="531.88"/>
    <n v="664.85"/>
  </r>
  <r>
    <s v="CID103"/>
    <x v="51"/>
    <s v="Jason"/>
    <s v="Nguyen"/>
    <n v="51"/>
    <x v="2"/>
    <x v="4"/>
    <s v="jason.nguyen@yahoo.com"/>
    <s v="7112 Travis Glens Suite 790, Crystalland, WV 38373"/>
    <x v="128"/>
    <d v="2024-11-02T00:00:00"/>
    <s v="22:18:21"/>
    <x v="12"/>
    <n v="272.51"/>
    <n v="4"/>
    <x v="2"/>
    <x v="2"/>
    <n v="2"/>
    <s v="Before_time"/>
    <n v="42"/>
    <n v="1"/>
    <d v="2024-11-03T00:00:00"/>
    <s v="12:35:14"/>
    <m/>
    <n v="1132.04"/>
    <n v="0"/>
    <n v="1090.04"/>
    <n v="1090.04"/>
  </r>
  <r>
    <s v="CID150"/>
    <x v="1"/>
    <s v="Anthony"/>
    <s v="Thomas"/>
    <n v="53"/>
    <x v="1"/>
    <x v="1"/>
    <s v="anthony.thomas@rediffmail.com"/>
    <s v="931 Christopher Ways Suite 833, North Michelle, IN 53484"/>
    <x v="129"/>
    <d v="2024-10-24T00:00:00"/>
    <s v="08:18:11"/>
    <x v="2"/>
    <n v="202.54"/>
    <n v="2"/>
    <x v="3"/>
    <x v="3"/>
    <n v="6"/>
    <s v="Before_time"/>
    <n v="70"/>
    <n v="5"/>
    <d v="2024-10-29T00:00:00"/>
    <s v="13:38:46"/>
    <m/>
    <n v="394.06400000000002"/>
    <n v="81.015999999999991"/>
    <n v="324.06400000000002"/>
    <n v="405.08"/>
  </r>
  <r>
    <s v="CID152"/>
    <x v="6"/>
    <s v="Marcus"/>
    <s v="Valenzuela"/>
    <n v="39"/>
    <x v="0"/>
    <x v="0"/>
    <s v="marcus.valenzuela@yahoo.com"/>
    <s v="694 Graham Prairie Apt. 887, Jimenezfurt, MI 33044"/>
    <x v="130"/>
    <d v="2025-02-01T00:00:00"/>
    <s v="10:44:36"/>
    <x v="34"/>
    <n v="136.30000000000001"/>
    <n v="2"/>
    <x v="4"/>
    <x v="4"/>
    <n v="2"/>
    <s v="Late_Delivery"/>
    <n v="51"/>
    <n v="5"/>
    <d v="2025-02-06T00:00:00"/>
    <s v="23:51:56"/>
    <m/>
    <n v="296.34000000000003"/>
    <n v="27.26"/>
    <n v="245.34000000000003"/>
    <n v="272.60000000000002"/>
  </r>
  <r>
    <s v="CID182"/>
    <x v="20"/>
    <s v="John"/>
    <s v="Herrera"/>
    <n v="64"/>
    <x v="1"/>
    <x v="1"/>
    <s v="john.herrera@outlook.com"/>
    <s v="61263 Jacob Isle, Amandatown, TN 34321"/>
    <x v="131"/>
    <d v="2023-06-17T00:00:00"/>
    <s v="17:09:22"/>
    <x v="39"/>
    <n v="403.03"/>
    <n v="5"/>
    <x v="2"/>
    <x v="2"/>
    <n v="7"/>
    <s v="Before_time"/>
    <n v="52"/>
    <n v="3"/>
    <d v="2023-06-20T00:00:00"/>
    <s v="16:24:38"/>
    <m/>
    <n v="2067.1499999999996"/>
    <n v="0"/>
    <n v="2015.1499999999999"/>
    <n v="2015.1499999999999"/>
  </r>
  <r>
    <s v="CID133"/>
    <x v="31"/>
    <s v="Donna"/>
    <s v="Oneill"/>
    <n v="70"/>
    <x v="0"/>
    <x v="6"/>
    <s v="donna.oneill@yahoo.com"/>
    <s v="464 Carolyn Crest Suite 738, Lake Isaiah, CA 66153"/>
    <x v="132"/>
    <d v="2023-12-21T00:00:00"/>
    <s v="07:07:24"/>
    <x v="39"/>
    <n v="403.03"/>
    <n v="4"/>
    <x v="4"/>
    <x v="4"/>
    <n v="6"/>
    <s v="Before_time"/>
    <n v="47"/>
    <n v="2"/>
    <d v="2023-12-23T00:00:00"/>
    <s v="01:21:39"/>
    <m/>
    <n v="1497.9079999999999"/>
    <n v="161.21199999999999"/>
    <n v="1450.9079999999999"/>
    <n v="1612.12"/>
  </r>
  <r>
    <s v="CID124"/>
    <x v="70"/>
    <s v="Edward"/>
    <s v="Black"/>
    <n v="42"/>
    <x v="0"/>
    <x v="2"/>
    <s v="edward.black@gmail.com"/>
    <s v="5879 Susan Via Apt. 886, Sandovalbury, WV 61449"/>
    <x v="133"/>
    <d v="2023-02-22T00:00:00"/>
    <s v="07:27:27"/>
    <x v="10"/>
    <n v="190.1"/>
    <n v="5"/>
    <x v="3"/>
    <x v="3"/>
    <n v="4"/>
    <s v="Late_Delivery"/>
    <n v="37"/>
    <n v="5"/>
    <d v="2023-02-27T00:00:00"/>
    <s v="14:08:36"/>
    <m/>
    <n v="797.40000000000009"/>
    <n v="190.1"/>
    <n v="760.40000000000009"/>
    <n v="950.5"/>
  </r>
  <r>
    <s v="CID160"/>
    <x v="71"/>
    <s v="James"/>
    <s v="Brown"/>
    <n v="60"/>
    <x v="0"/>
    <x v="4"/>
    <s v="james.brown@yahoo.com"/>
    <s v="221 Frey Crossing Suite 192, South Taylorland, HI 72875"/>
    <x v="134"/>
    <d v="2025-01-06T00:00:00"/>
    <s v="00:30:57"/>
    <x v="34"/>
    <n v="136.30000000000001"/>
    <n v="4"/>
    <x v="2"/>
    <x v="2"/>
    <n v="5"/>
    <s v="On_time"/>
    <n v="61"/>
    <n v="5"/>
    <d v="2025-01-11T00:00:00"/>
    <s v="15:41:07"/>
    <m/>
    <n v="606.20000000000005"/>
    <n v="0"/>
    <n v="545.20000000000005"/>
    <n v="545.20000000000005"/>
  </r>
  <r>
    <s v="CID171"/>
    <x v="72"/>
    <s v="Leslie"/>
    <s v="Montgomery"/>
    <n v="26"/>
    <x v="1"/>
    <x v="5"/>
    <s v="leslie.montgomery@gmail.com"/>
    <s v="135 Teresa Oval Apt. 825, East Katherineport, WY 13714"/>
    <x v="135"/>
    <d v="2023-10-27T00:00:00"/>
    <s v="20:10:38"/>
    <x v="42"/>
    <n v="235.63"/>
    <n v="1"/>
    <x v="3"/>
    <x v="3"/>
    <n v="2"/>
    <s v="Late_Delivery"/>
    <n v="66"/>
    <n v="7"/>
    <d v="2023-11-03T00:00:00"/>
    <s v="03:43:44"/>
    <m/>
    <n v="254.50400000000002"/>
    <n v="47.126000000000005"/>
    <n v="188.50400000000002"/>
    <n v="235.63"/>
  </r>
  <r>
    <s v="CID173"/>
    <x v="73"/>
    <s v="Susan"/>
    <s v="Thompson"/>
    <n v="37"/>
    <x v="2"/>
    <x v="7"/>
    <s v="susan.thompson@outlook.com"/>
    <s v="47821 William Station, East Ashleymouth, FL 20562"/>
    <x v="136"/>
    <d v="2023-11-19T00:00:00"/>
    <s v="14:57:06"/>
    <x v="41"/>
    <n v="433.62"/>
    <n v="4"/>
    <x v="3"/>
    <x v="3"/>
    <n v="3"/>
    <s v="On_time"/>
    <n v="36"/>
    <n v="3"/>
    <d v="2023-11-22T00:00:00"/>
    <s v="21:20:28"/>
    <m/>
    <n v="1423.5840000000001"/>
    <n v="346.89599999999996"/>
    <n v="1387.5840000000001"/>
    <n v="1734.48"/>
  </r>
  <r>
    <s v="CID194"/>
    <x v="67"/>
    <s v="Barbara"/>
    <s v="Fuller"/>
    <n v="43"/>
    <x v="2"/>
    <x v="5"/>
    <s v="barbara.fuller@rediffmail.com"/>
    <s v="134 Mcintosh Unions Suite 574, Lake Laura, DE 96577"/>
    <x v="137"/>
    <d v="2024-02-09T00:00:00"/>
    <s v="10:20:44"/>
    <x v="21"/>
    <n v="157.63999999999999"/>
    <n v="5"/>
    <x v="2"/>
    <x v="2"/>
    <n v="7"/>
    <s v="Before_time"/>
    <n v="36"/>
    <n v="1"/>
    <d v="2024-02-10T00:00:00"/>
    <s v="23:29:03"/>
    <m/>
    <n v="824.19999999999993"/>
    <n v="0"/>
    <n v="788.19999999999993"/>
    <n v="788.19999999999993"/>
  </r>
  <r>
    <s v="CID198"/>
    <x v="5"/>
    <s v="David"/>
    <s v="Delacruz"/>
    <n v="26"/>
    <x v="1"/>
    <x v="3"/>
    <s v="david.delacruz@rediffmail.com"/>
    <s v="USNS Ray, FPO AE 20238"/>
    <x v="138"/>
    <d v="2023-07-01T00:00:00"/>
    <s v="14:09:23"/>
    <x v="22"/>
    <n v="158.53"/>
    <n v="5"/>
    <x v="2"/>
    <x v="2"/>
    <n v="4"/>
    <s v="Before_time"/>
    <n v="66"/>
    <n v="3"/>
    <d v="2023-07-04T00:00:00"/>
    <s v="10:17:52"/>
    <m/>
    <n v="858.65"/>
    <n v="0"/>
    <n v="792.65"/>
    <n v="792.65"/>
  </r>
  <r>
    <s v="CID147"/>
    <x v="15"/>
    <s v="Mallory"/>
    <s v="Mitchell"/>
    <n v="42"/>
    <x v="1"/>
    <x v="6"/>
    <s v="mallory.mitchell@yahoo.com"/>
    <s v="710 Anthony Wall Suite 137, East Davidstad, NV 61494"/>
    <x v="139"/>
    <d v="2023-12-23T00:00:00"/>
    <s v="10:48:56"/>
    <x v="8"/>
    <n v="257.06"/>
    <n v="3"/>
    <x v="0"/>
    <x v="0"/>
    <n v="6"/>
    <s v="On_time"/>
    <n v="65"/>
    <n v="6"/>
    <d v="2023-12-29T00:00:00"/>
    <s v="05:48:39"/>
    <m/>
    <n v="774.48560000000009"/>
    <n v="61.694400000000002"/>
    <n v="709.48560000000009"/>
    <n v="771.18000000000006"/>
  </r>
  <r>
    <s v="CID112"/>
    <x v="69"/>
    <s v="Lindsey"/>
    <s v="Byrd"/>
    <n v="32"/>
    <x v="0"/>
    <x v="5"/>
    <s v="lindsey.byrd@rediffmail.com"/>
    <s v="USCGC Harper, FPO AA 38349"/>
    <x v="140"/>
    <d v="2024-09-02T00:00:00"/>
    <s v="10:33:35"/>
    <x v="44"/>
    <n v="110.95"/>
    <n v="4"/>
    <x v="1"/>
    <x v="1"/>
    <n v="1"/>
    <s v="Late_Delivery"/>
    <n v="60"/>
    <n v="4"/>
    <d v="2024-09-06T00:00:00"/>
    <s v="05:24:44"/>
    <m/>
    <n v="437.23"/>
    <n v="66.569999999999993"/>
    <n v="377.23"/>
    <n v="443.8"/>
  </r>
  <r>
    <s v="CID174"/>
    <x v="53"/>
    <s v="Jodi"/>
    <s v="Whitney"/>
    <n v="33"/>
    <x v="2"/>
    <x v="6"/>
    <s v="jodi.whitney@yahoo.com"/>
    <s v="72876 Lara Key Suite 383, Gutierrezton, OR 71683"/>
    <x v="141"/>
    <d v="2024-11-13T00:00:00"/>
    <s v="22:34:39"/>
    <x v="24"/>
    <n v="481.48"/>
    <n v="5"/>
    <x v="0"/>
    <x v="0"/>
    <n v="6"/>
    <s v="Before_time"/>
    <n v="44"/>
    <n v="3"/>
    <d v="2024-11-16T00:00:00"/>
    <s v="02:59:45"/>
    <m/>
    <n v="2258.808"/>
    <n v="192.59200000000001"/>
    <n v="2214.808"/>
    <n v="2407.4"/>
  </r>
  <r>
    <s v="CID195"/>
    <x v="49"/>
    <s v="Sarah"/>
    <s v="Butler"/>
    <n v="64"/>
    <x v="0"/>
    <x v="0"/>
    <s v="sarah.butler@rediffmail.com"/>
    <s v="14131 Edwin Shore Apt. 190, Deniseberg, MD 90905"/>
    <x v="142"/>
    <d v="2024-10-11T00:00:00"/>
    <s v="19:56:54"/>
    <x v="47"/>
    <n v="292.14999999999998"/>
    <n v="4"/>
    <x v="3"/>
    <x v="3"/>
    <n v="1"/>
    <s v="On_time"/>
    <n v="58"/>
    <n v="1"/>
    <d v="2024-10-12T00:00:00"/>
    <s v="02:22:56"/>
    <m/>
    <n v="992.88"/>
    <n v="233.72"/>
    <n v="934.88"/>
    <n v="1168.5999999999999"/>
  </r>
  <r>
    <s v="CID169"/>
    <x v="32"/>
    <s v="Robert"/>
    <s v="Castillo"/>
    <n v="32"/>
    <x v="1"/>
    <x v="6"/>
    <s v="robert.castillo@gmail.com"/>
    <s v="7143 Brandon Skyway Suite 899, Tylerton, IA 21756"/>
    <x v="143"/>
    <d v="2023-09-30T00:00:00"/>
    <s v="19:28:23"/>
    <x v="46"/>
    <n v="20"/>
    <n v="5"/>
    <x v="1"/>
    <x v="1"/>
    <n v="7"/>
    <s v="Before_time"/>
    <n v="40"/>
    <n v="4"/>
    <d v="2023-10-04T00:00:00"/>
    <s v="11:32:19"/>
    <m/>
    <n v="125"/>
    <n v="15"/>
    <n v="85"/>
    <n v="100"/>
  </r>
  <r>
    <s v="CID169"/>
    <x v="32"/>
    <s v="Robert"/>
    <s v="Castillo"/>
    <n v="32"/>
    <x v="1"/>
    <x v="6"/>
    <s v="robert.castillo@gmail.com"/>
    <s v="7143 Brandon Skyway Suite 899, Tylerton, IA 21756"/>
    <x v="144"/>
    <d v="2025-01-20T00:00:00"/>
    <s v="09:43:17"/>
    <x v="3"/>
    <n v="405"/>
    <n v="2"/>
    <x v="1"/>
    <x v="1"/>
    <n v="7"/>
    <s v="Before_time"/>
    <n v="55"/>
    <n v="3"/>
    <d v="2025-01-23T00:00:00"/>
    <s v="16:27:25"/>
    <m/>
    <n v="743.5"/>
    <n v="121.5"/>
    <n v="688.5"/>
    <n v="810"/>
  </r>
  <r>
    <s v="CID145"/>
    <x v="54"/>
    <s v="Ashley"/>
    <s v="Romero"/>
    <n v="35"/>
    <x v="0"/>
    <x v="0"/>
    <s v="ashley.romero@yahoo.com"/>
    <s v="547 Kerry Expressway, Lake Amanda, AR 20321"/>
    <x v="145"/>
    <d v="2024-10-16T00:00:00"/>
    <s v="06:49:56"/>
    <x v="7"/>
    <n v="48.45"/>
    <n v="5"/>
    <x v="4"/>
    <x v="4"/>
    <n v="7"/>
    <s v="On_time"/>
    <n v="53"/>
    <n v="7"/>
    <d v="2024-10-23T00:00:00"/>
    <s v="22:10:44"/>
    <m/>
    <n v="271.02499999999998"/>
    <n v="24.225000000000001"/>
    <n v="218.02500000000001"/>
    <n v="242.25"/>
  </r>
  <r>
    <s v="CID153"/>
    <x v="47"/>
    <s v="Mitchell"/>
    <s v="Parker"/>
    <n v="39"/>
    <x v="2"/>
    <x v="1"/>
    <s v="mitchell.parker@yahoo.com"/>
    <s v="PSC 3316, Box 9303, APO AE 29513"/>
    <x v="146"/>
    <d v="2024-11-13T00:00:00"/>
    <s v="00:43:57"/>
    <x v="2"/>
    <n v="202.54"/>
    <n v="1"/>
    <x v="0"/>
    <x v="0"/>
    <n v="4"/>
    <s v="Before_time"/>
    <n v="48"/>
    <n v="2"/>
    <d v="2024-11-15T00:00:00"/>
    <s v="04:56:51"/>
    <m/>
    <n v="234.33680000000001"/>
    <n v="16.203199999999999"/>
    <n v="186.33680000000001"/>
    <n v="202.54"/>
  </r>
  <r>
    <s v="CID188"/>
    <x v="68"/>
    <s v="Kristina"/>
    <s v="Haynes"/>
    <n v="27"/>
    <x v="0"/>
    <x v="1"/>
    <s v="kristina.haynes@yahoo.com"/>
    <s v="18295 Thomas River, Kochville, NH 80868"/>
    <x v="147"/>
    <d v="2023-02-26T00:00:00"/>
    <s v="15:45:08"/>
    <x v="31"/>
    <n v="286.07"/>
    <n v="5"/>
    <x v="3"/>
    <x v="3"/>
    <n v="1"/>
    <s v="Late_Delivery"/>
    <n v="52"/>
    <n v="3"/>
    <d v="2023-03-01T00:00:00"/>
    <s v="19:53:01"/>
    <m/>
    <n v="1196.28"/>
    <n v="286.07"/>
    <n v="1144.28"/>
    <n v="1430.35"/>
  </r>
  <r>
    <s v="CID199"/>
    <x v="44"/>
    <s v="Lori"/>
    <s v="Cook"/>
    <n v="18"/>
    <x v="1"/>
    <x v="1"/>
    <s v="lori.cook@rediffmail.com"/>
    <s v="86837 Bell Meadows, North Jasonshire, UT 51354"/>
    <x v="148"/>
    <d v="2024-03-27T00:00:00"/>
    <s v="03:06:30"/>
    <x v="2"/>
    <n v="202.54"/>
    <n v="4"/>
    <x v="4"/>
    <x v="4"/>
    <n v="1"/>
    <s v="Late_Delivery"/>
    <n v="36"/>
    <n v="2"/>
    <d v="2024-03-29T00:00:00"/>
    <s v="06:57:51"/>
    <m/>
    <n v="765.14400000000001"/>
    <n v="81.015999999999991"/>
    <n v="729.14400000000001"/>
    <n v="810.16"/>
  </r>
  <r>
    <s v="CID108"/>
    <x v="25"/>
    <s v="Teresa"/>
    <s v="Harvey"/>
    <n v="64"/>
    <x v="2"/>
    <x v="0"/>
    <s v="teresa.harvey@gmail.com"/>
    <s v="02669 Kirk Squares, Davisville, VA 51272"/>
    <x v="149"/>
    <d v="2023-03-04T00:00:00"/>
    <s v="13:02:42"/>
    <x v="29"/>
    <n v="44.5"/>
    <n v="3"/>
    <x v="0"/>
    <x v="0"/>
    <n v="6"/>
    <s v="Before_time"/>
    <n v="46"/>
    <n v="2"/>
    <d v="2023-03-06T00:00:00"/>
    <s v="06:40:28"/>
    <m/>
    <n v="168.82"/>
    <n v="10.68"/>
    <n v="122.82000000000001"/>
    <n v="133.5"/>
  </r>
  <r>
    <s v="CID119"/>
    <x v="74"/>
    <s v="Amy"/>
    <s v="Griffin"/>
    <n v="29"/>
    <x v="0"/>
    <x v="1"/>
    <s v="amy.griffin@rediffmail.com"/>
    <s v="07350 Aaron Meadow Suite 138, Kiaraberg, AL 79545"/>
    <x v="150"/>
    <d v="2023-11-21T00:00:00"/>
    <s v="10:25:49"/>
    <x v="24"/>
    <n v="481.48"/>
    <n v="4"/>
    <x v="2"/>
    <x v="2"/>
    <n v="3"/>
    <s v="Late_Delivery"/>
    <n v="54"/>
    <n v="5"/>
    <d v="2023-11-26T00:00:00"/>
    <s v="08:21:37"/>
    <m/>
    <n v="1979.92"/>
    <n v="0"/>
    <n v="1925.92"/>
    <n v="1925.92"/>
  </r>
  <r>
    <s v="CID174"/>
    <x v="53"/>
    <s v="Jodi"/>
    <s v="Whitney"/>
    <n v="33"/>
    <x v="2"/>
    <x v="6"/>
    <s v="jodi.whitney@yahoo.com"/>
    <s v="72876 Lara Key Suite 383, Gutierrezton, OR 71683"/>
    <x v="151"/>
    <d v="2023-10-01T00:00:00"/>
    <s v="04:33:43"/>
    <x v="25"/>
    <n v="77.84"/>
    <n v="5"/>
    <x v="4"/>
    <x v="4"/>
    <n v="1"/>
    <s v="Late_Delivery"/>
    <n v="41"/>
    <n v="6"/>
    <d v="2023-10-07T00:00:00"/>
    <s v="01:47:49"/>
    <m/>
    <n v="391.28000000000003"/>
    <n v="38.92"/>
    <n v="350.28000000000003"/>
    <n v="389.20000000000005"/>
  </r>
  <r>
    <s v="CID134"/>
    <x v="45"/>
    <s v="Debra"/>
    <s v="Hayes"/>
    <n v="33"/>
    <x v="0"/>
    <x v="6"/>
    <s v="debra.hayes@yahoo.com"/>
    <s v="4601 Miller Lock, Williamsbury, IA 10943"/>
    <x v="152"/>
    <d v="2024-02-08T00:00:00"/>
    <s v="15:45:02"/>
    <x v="27"/>
    <n v="496.59"/>
    <n v="2"/>
    <x v="4"/>
    <x v="4"/>
    <n v="5"/>
    <s v="Before_time"/>
    <n v="40"/>
    <n v="1"/>
    <d v="2024-02-09T00:00:00"/>
    <s v="19:16:06"/>
    <m/>
    <n v="933.86199999999997"/>
    <n v="99.317999999999998"/>
    <n v="893.86199999999997"/>
    <n v="993.18"/>
  </r>
  <r>
    <s v="CID108"/>
    <x v="25"/>
    <s v="Teresa"/>
    <s v="Harvey"/>
    <n v="64"/>
    <x v="2"/>
    <x v="0"/>
    <s v="teresa.harvey@gmail.com"/>
    <s v="02669 Kirk Squares, Davisville, VA 51272"/>
    <x v="153"/>
    <d v="2023-07-22T00:00:00"/>
    <s v="18:37:45"/>
    <x v="11"/>
    <n v="220.27"/>
    <n v="3"/>
    <x v="0"/>
    <x v="0"/>
    <n v="6"/>
    <s v="Before_time"/>
    <n v="48"/>
    <n v="3"/>
    <d v="2023-07-25T00:00:00"/>
    <s v="02:32:24"/>
    <m/>
    <n v="655.94520000000011"/>
    <n v="52.864800000000002"/>
    <n v="607.94520000000011"/>
    <n v="660.81000000000006"/>
  </r>
  <r>
    <s v="CID191"/>
    <x v="24"/>
    <s v="Lauren"/>
    <s v="Long"/>
    <n v="44"/>
    <x v="0"/>
    <x v="7"/>
    <s v="lauren.long@gmail.com"/>
    <s v="258 Michael Brooks Suite 363, Arnoldview, PA 49438"/>
    <x v="154"/>
    <d v="2024-10-19T00:00:00"/>
    <s v="20:25:23"/>
    <x v="23"/>
    <n v="129.75"/>
    <n v="1"/>
    <x v="2"/>
    <x v="2"/>
    <n v="7"/>
    <s v="On_time"/>
    <n v="44"/>
    <n v="7"/>
    <d v="2024-10-26T00:00:00"/>
    <s v="11:54:10"/>
    <m/>
    <n v="173.75"/>
    <n v="0"/>
    <n v="129.75"/>
    <n v="129.75"/>
  </r>
  <r>
    <s v="CID194"/>
    <x v="67"/>
    <s v="Barbara"/>
    <s v="Fuller"/>
    <n v="43"/>
    <x v="2"/>
    <x v="5"/>
    <s v="barbara.fuller@rediffmail.com"/>
    <s v="134 Mcintosh Unions Suite 574, Lake Laura, DE 96577"/>
    <x v="155"/>
    <d v="2023-12-31T00:00:00"/>
    <s v="10:35:10"/>
    <x v="34"/>
    <n v="136.30000000000001"/>
    <n v="1"/>
    <x v="1"/>
    <x v="1"/>
    <n v="1"/>
    <s v="Late_Delivery"/>
    <n v="64"/>
    <n v="5"/>
    <d v="2024-01-05T00:00:00"/>
    <s v="00:12:03"/>
    <m/>
    <n v="179.85500000000002"/>
    <n v="20.445000000000004"/>
    <n v="115.855"/>
    <n v="136.30000000000001"/>
  </r>
  <r>
    <s v="CID165"/>
    <x v="40"/>
    <s v="Mary"/>
    <s v="Knight"/>
    <n v="28"/>
    <x v="2"/>
    <x v="2"/>
    <s v="mary.knight@yahoo.com"/>
    <s v="907 Kimberly Hill, Murrayfort, NH 88384"/>
    <x v="156"/>
    <d v="2024-07-09T00:00:00"/>
    <s v="21:35:45"/>
    <x v="31"/>
    <n v="286.07"/>
    <n v="2"/>
    <x v="0"/>
    <x v="0"/>
    <n v="3"/>
    <s v="On_time"/>
    <n v="54"/>
    <n v="3"/>
    <d v="2024-07-12T00:00:00"/>
    <s v="09:34:31"/>
    <m/>
    <n v="580.36879999999996"/>
    <n v="45.7712"/>
    <n v="526.36879999999996"/>
    <n v="572.14"/>
  </r>
  <r>
    <s v="CID195"/>
    <x v="49"/>
    <s v="Sarah"/>
    <s v="Butler"/>
    <n v="64"/>
    <x v="0"/>
    <x v="0"/>
    <s v="sarah.butler@rediffmail.com"/>
    <s v="14131 Edwin Shore Apt. 190, Deniseberg, MD 90905"/>
    <x v="157"/>
    <d v="2023-06-12T00:00:00"/>
    <s v="16:54:11"/>
    <x v="5"/>
    <n v="363.64"/>
    <n v="2"/>
    <x v="2"/>
    <x v="2"/>
    <n v="4"/>
    <s v="Before_time"/>
    <n v="40"/>
    <n v="2"/>
    <d v="2023-06-14T00:00:00"/>
    <s v="18:09:14"/>
    <m/>
    <n v="767.28"/>
    <n v="0"/>
    <n v="727.28"/>
    <n v="727.28"/>
  </r>
  <r>
    <s v="CID165"/>
    <x v="40"/>
    <s v="Mary"/>
    <s v="Knight"/>
    <n v="28"/>
    <x v="2"/>
    <x v="2"/>
    <s v="mary.knight@yahoo.com"/>
    <s v="907 Kimberly Hill, Murrayfort, NH 88384"/>
    <x v="158"/>
    <d v="2024-11-14T00:00:00"/>
    <s v="10:04:46"/>
    <x v="40"/>
    <n v="445.81"/>
    <n v="5"/>
    <x v="0"/>
    <x v="0"/>
    <n v="6"/>
    <s v="Before_time"/>
    <n v="70"/>
    <n v="3"/>
    <d v="2024-11-17T00:00:00"/>
    <s v="22:23:04"/>
    <m/>
    <n v="2120.7260000000001"/>
    <n v="178.32400000000001"/>
    <n v="2050.7260000000001"/>
    <n v="2229.0500000000002"/>
  </r>
  <r>
    <s v="CID109"/>
    <x v="75"/>
    <s v="Rachael"/>
    <s v="Robinson"/>
    <n v="24"/>
    <x v="2"/>
    <x v="7"/>
    <s v="rachael.robinson@rediffmail.com"/>
    <s v="0889 Brady Points, Port Meganhaven, NM 26553"/>
    <x v="159"/>
    <d v="2023-04-29T00:00:00"/>
    <s v="02:22:40"/>
    <x v="44"/>
    <n v="110.95"/>
    <n v="5"/>
    <x v="3"/>
    <x v="3"/>
    <n v="5"/>
    <s v="Before_time"/>
    <n v="62"/>
    <n v="2"/>
    <d v="2023-05-01T00:00:00"/>
    <s v="00:47:16"/>
    <m/>
    <n v="505.8"/>
    <n v="110.95"/>
    <n v="443.8"/>
    <n v="554.75"/>
  </r>
  <r>
    <s v="CID136"/>
    <x v="46"/>
    <s v="Brittany"/>
    <s v="Stewart"/>
    <n v="68"/>
    <x v="2"/>
    <x v="7"/>
    <s v="brittany.stewart@gmail.com"/>
    <s v="6250 David Loaf Suite 561, North Pamelaberg, WV 63652"/>
    <x v="160"/>
    <d v="2024-08-25T00:00:00"/>
    <s v="21:52:14"/>
    <x v="13"/>
    <n v="104.18"/>
    <n v="4"/>
    <x v="0"/>
    <x v="0"/>
    <n v="4"/>
    <s v="Late_Delivery"/>
    <n v="45"/>
    <n v="7"/>
    <d v="2024-09-01T00:00:00"/>
    <s v="10:43:13"/>
    <m/>
    <n v="428.38240000000002"/>
    <n v="33.337600000000002"/>
    <n v="383.38240000000002"/>
    <n v="416.72"/>
  </r>
  <r>
    <s v="CID199"/>
    <x v="44"/>
    <s v="Lori"/>
    <s v="Cook"/>
    <n v="18"/>
    <x v="1"/>
    <x v="1"/>
    <s v="lori.cook@rediffmail.com"/>
    <s v="86837 Bell Meadows, North Jasonshire, UT 51354"/>
    <x v="161"/>
    <d v="2024-08-31T00:00:00"/>
    <s v="08:31:11"/>
    <x v="27"/>
    <n v="496.59"/>
    <n v="4"/>
    <x v="3"/>
    <x v="3"/>
    <n v="1"/>
    <s v="Late_Delivery"/>
    <n v="59"/>
    <n v="6"/>
    <d v="2024-09-06T00:00:00"/>
    <s v="09:56:25"/>
    <m/>
    <n v="1648.088"/>
    <n v="397.27199999999999"/>
    <n v="1589.088"/>
    <n v="1986.36"/>
  </r>
  <r>
    <s v="CID101"/>
    <x v="8"/>
    <s v="Bobby"/>
    <s v="Forbes"/>
    <n v="20"/>
    <x v="0"/>
    <x v="3"/>
    <s v="bobby.forbes@gmail.com"/>
    <s v="3079 John Parkway Suite 961, Port Kristaview, MT 91019"/>
    <x v="162"/>
    <d v="2023-02-24T00:00:00"/>
    <s v="20:48:48"/>
    <x v="48"/>
    <n v="107.47"/>
    <n v="5"/>
    <x v="3"/>
    <x v="3"/>
    <n v="6"/>
    <s v="On_time"/>
    <n v="48"/>
    <n v="6"/>
    <d v="2023-03-02T00:00:00"/>
    <s v="15:06:55"/>
    <m/>
    <n v="477.88000000000005"/>
    <n v="107.47"/>
    <n v="429.88000000000005"/>
    <n v="537.35"/>
  </r>
  <r>
    <s v="CID109"/>
    <x v="75"/>
    <s v="Rachael"/>
    <s v="Robinson"/>
    <n v="24"/>
    <x v="2"/>
    <x v="7"/>
    <s v="rachael.robinson@rediffmail.com"/>
    <s v="0889 Brady Points, Port Meganhaven, NM 26553"/>
    <x v="163"/>
    <d v="2023-10-08T00:00:00"/>
    <s v="18:41:53"/>
    <x v="18"/>
    <n v="282.63"/>
    <n v="1"/>
    <x v="2"/>
    <x v="2"/>
    <n v="5"/>
    <s v="Late_Delivery"/>
    <n v="45"/>
    <n v="7"/>
    <d v="2023-10-15T00:00:00"/>
    <s v="19:58:13"/>
    <m/>
    <n v="327.63"/>
    <n v="0"/>
    <n v="282.63"/>
    <n v="282.63"/>
  </r>
  <r>
    <s v="CID105"/>
    <x v="9"/>
    <s v="Joseph"/>
    <s v="Stewart"/>
    <n v="30"/>
    <x v="1"/>
    <x v="1"/>
    <s v="joseph.stewart@yahoo.com"/>
    <s v="4082 Wang Terrace Suite 040, Victorialand, ME 41532"/>
    <x v="164"/>
    <d v="2023-09-16T00:00:00"/>
    <s v="05:35:11"/>
    <x v="30"/>
    <n v="369.03"/>
    <n v="1"/>
    <x v="3"/>
    <x v="3"/>
    <n v="1"/>
    <s v="Late_Delivery"/>
    <n v="48"/>
    <n v="7"/>
    <d v="2023-09-23T00:00:00"/>
    <s v="04:56:02"/>
    <m/>
    <n v="343.22399999999999"/>
    <n v="73.805999999999997"/>
    <n v="295.22399999999999"/>
    <n v="369.03"/>
  </r>
  <r>
    <s v="CID178"/>
    <x v="11"/>
    <s v="Amy"/>
    <s v="Reid"/>
    <n v="44"/>
    <x v="1"/>
    <x v="3"/>
    <s v="amy.reid@rediffmail.com"/>
    <s v="6262 Simpson Village, North Danielle, RI 76074"/>
    <x v="165"/>
    <d v="2024-08-09T00:00:00"/>
    <s v="11:01:20"/>
    <x v="13"/>
    <n v="104.18"/>
    <n v="2"/>
    <x v="2"/>
    <x v="2"/>
    <n v="2"/>
    <s v="On_time"/>
    <n v="57"/>
    <n v="2"/>
    <d v="2024-08-11T00:00:00"/>
    <s v="12:21:09"/>
    <m/>
    <n v="265.36"/>
    <n v="0"/>
    <n v="208.36"/>
    <n v="208.36"/>
  </r>
  <r>
    <s v="CID116"/>
    <x v="38"/>
    <s v="John"/>
    <s v="Ramirez"/>
    <n v="28"/>
    <x v="2"/>
    <x v="4"/>
    <s v="john.ramirez@outlook.com"/>
    <s v="02797 Martin Landing, South Michelle, VT 98781"/>
    <x v="166"/>
    <d v="2024-09-15T00:00:00"/>
    <s v="08:29:32"/>
    <x v="11"/>
    <n v="220.27"/>
    <n v="2"/>
    <x v="3"/>
    <x v="3"/>
    <n v="1"/>
    <s v="Late_Delivery"/>
    <n v="42"/>
    <n v="2"/>
    <d v="2024-09-17T00:00:00"/>
    <s v="12:32:31"/>
    <m/>
    <n v="394.43200000000002"/>
    <n v="88.108000000000004"/>
    <n v="352.43200000000002"/>
    <n v="440.54"/>
  </r>
  <r>
    <s v="CID192"/>
    <x v="52"/>
    <s v="Brandon"/>
    <s v="Cruz"/>
    <n v="32"/>
    <x v="2"/>
    <x v="3"/>
    <s v="brandon.cruz@gmail.com"/>
    <s v="9296 Villanueva Branch, East Kevin, CO 93912"/>
    <x v="167"/>
    <d v="2023-07-18T00:00:00"/>
    <s v="02:56:50"/>
    <x v="42"/>
    <n v="235.63"/>
    <n v="5"/>
    <x v="0"/>
    <x v="0"/>
    <n v="4"/>
    <s v="On_time"/>
    <n v="52"/>
    <n v="4"/>
    <d v="2023-07-22T00:00:00"/>
    <s v="05:26:37"/>
    <m/>
    <n v="1135.8980000000001"/>
    <n v="94.25200000000001"/>
    <n v="1083.8980000000001"/>
    <n v="1178.1500000000001"/>
  </r>
  <r>
    <s v="CID118"/>
    <x v="58"/>
    <s v="Amy"/>
    <s v="Ellis"/>
    <n v="44"/>
    <x v="2"/>
    <x v="3"/>
    <s v="amy.ellis@gmail.com"/>
    <s v="217 Scott Ville, Christophermouth, NH 83776"/>
    <x v="168"/>
    <d v="2023-09-17T00:00:00"/>
    <s v="11:18:01"/>
    <x v="1"/>
    <n v="166.28"/>
    <n v="4"/>
    <x v="3"/>
    <x v="3"/>
    <n v="6"/>
    <s v="Late_Delivery"/>
    <n v="36"/>
    <n v="7"/>
    <d v="2023-09-24T00:00:00"/>
    <s v="06:56:11"/>
    <m/>
    <n v="568.096"/>
    <n v="133.024"/>
    <n v="532.096"/>
    <n v="665.12"/>
  </r>
  <r>
    <s v="CID105"/>
    <x v="9"/>
    <s v="Joseph"/>
    <s v="Stewart"/>
    <n v="30"/>
    <x v="1"/>
    <x v="1"/>
    <s v="joseph.stewart@yahoo.com"/>
    <s v="4082 Wang Terrace Suite 040, Victorialand, ME 41532"/>
    <x v="169"/>
    <d v="2023-07-13T00:00:00"/>
    <s v="03:11:30"/>
    <x v="3"/>
    <n v="405"/>
    <n v="5"/>
    <x v="4"/>
    <x v="4"/>
    <n v="6"/>
    <s v="Late_Delivery"/>
    <n v="36"/>
    <n v="7"/>
    <d v="2023-07-20T00:00:00"/>
    <s v="18:17:55"/>
    <m/>
    <n v="1858.5"/>
    <n v="202.5"/>
    <n v="1822.5"/>
    <n v="2025"/>
  </r>
  <r>
    <s v="CID148"/>
    <x v="13"/>
    <s v="Erin"/>
    <s v="Miller"/>
    <n v="46"/>
    <x v="0"/>
    <x v="6"/>
    <s v="erin.miller@gmail.com"/>
    <s v="65972 Peterson Route, Port Andrewfurt, SD 32892"/>
    <x v="170"/>
    <d v="2024-10-26T00:00:00"/>
    <s v="04:35:15"/>
    <x v="8"/>
    <n v="257.06"/>
    <n v="2"/>
    <x v="1"/>
    <x v="1"/>
    <n v="7"/>
    <s v="Before_time"/>
    <n v="59"/>
    <n v="1"/>
    <d v="2024-10-27T00:00:00"/>
    <s v="15:55:56"/>
    <m/>
    <n v="496.00200000000001"/>
    <n v="77.117999999999995"/>
    <n v="437.00200000000001"/>
    <n v="514.12"/>
  </r>
  <r>
    <s v="CID109"/>
    <x v="75"/>
    <s v="Rachael"/>
    <s v="Robinson"/>
    <n v="24"/>
    <x v="2"/>
    <x v="7"/>
    <s v="rachael.robinson@rediffmail.com"/>
    <s v="0889 Brady Points, Port Meganhaven, NM 26553"/>
    <x v="171"/>
    <d v="2024-08-21T00:00:00"/>
    <s v="08:45:48"/>
    <x v="29"/>
    <n v="44.5"/>
    <n v="4"/>
    <x v="0"/>
    <x v="0"/>
    <n v="5"/>
    <s v="Late_Delivery"/>
    <n v="40"/>
    <n v="6"/>
    <d v="2024-08-27T00:00:00"/>
    <s v="10:48:42"/>
    <m/>
    <n v="203.76000000000002"/>
    <n v="14.24"/>
    <n v="163.76000000000002"/>
    <n v="178"/>
  </r>
  <r>
    <s v="CID118"/>
    <x v="58"/>
    <s v="Amy"/>
    <s v="Ellis"/>
    <n v="44"/>
    <x v="2"/>
    <x v="3"/>
    <s v="amy.ellis@gmail.com"/>
    <s v="217 Scott Ville, Christophermouth, NH 83776"/>
    <x v="172"/>
    <d v="2024-09-26T00:00:00"/>
    <s v="09:39:48"/>
    <x v="29"/>
    <n v="44.5"/>
    <n v="2"/>
    <x v="1"/>
    <x v="1"/>
    <n v="5"/>
    <s v="Before_time"/>
    <n v="52"/>
    <n v="2"/>
    <d v="2024-09-28T00:00:00"/>
    <s v="06:37:23"/>
    <m/>
    <n v="127.64999999999999"/>
    <n v="13.35"/>
    <n v="75.649999999999991"/>
    <n v="89"/>
  </r>
  <r>
    <s v="CID139"/>
    <x v="57"/>
    <s v="Joseph"/>
    <s v="Gaines"/>
    <n v="47"/>
    <x v="2"/>
    <x v="2"/>
    <s v="joseph.gaines@outlook.com"/>
    <s v="37549 Pope Isle Apt. 202, Tylerborough, MO 60042"/>
    <x v="173"/>
    <d v="2023-05-05T00:00:00"/>
    <s v="19:48:44"/>
    <x v="23"/>
    <n v="129.75"/>
    <n v="5"/>
    <x v="2"/>
    <x v="2"/>
    <n v="3"/>
    <s v="Late_Delivery"/>
    <n v="43"/>
    <n v="6"/>
    <d v="2023-05-11T00:00:00"/>
    <s v="16:27:41"/>
    <m/>
    <n v="691.75"/>
    <n v="0"/>
    <n v="648.75"/>
    <n v="648.75"/>
  </r>
  <r>
    <s v="CID123"/>
    <x v="60"/>
    <s v="Christy"/>
    <s v="Chang"/>
    <n v="38"/>
    <x v="1"/>
    <x v="7"/>
    <s v="christy.chang@outlook.com"/>
    <s v="4647 Hannah Centers, Rhodesburgh, NH 89363"/>
    <x v="174"/>
    <d v="2024-01-27T00:00:00"/>
    <s v="18:18:32"/>
    <x v="20"/>
    <n v="62.42"/>
    <n v="4"/>
    <x v="3"/>
    <x v="3"/>
    <n v="4"/>
    <s v="Before_time"/>
    <n v="37"/>
    <n v="3"/>
    <d v="2024-01-30T00:00:00"/>
    <s v="10:39:26"/>
    <m/>
    <n v="236.74400000000003"/>
    <n v="49.936000000000007"/>
    <n v="199.74400000000003"/>
    <n v="249.68"/>
  </r>
  <r>
    <s v="CID107"/>
    <x v="65"/>
    <s v="Lisa"/>
    <s v="Miller"/>
    <n v="70"/>
    <x v="1"/>
    <x v="3"/>
    <s v="lisa.miller@gmail.com"/>
    <s v="89748 Campbell Drive, South Tannerland, WI 13143"/>
    <x v="175"/>
    <d v="2024-08-04T00:00:00"/>
    <s v="16:59:55"/>
    <x v="33"/>
    <n v="421.7"/>
    <n v="4"/>
    <x v="0"/>
    <x v="0"/>
    <n v="7"/>
    <s v="Before_time"/>
    <n v="69"/>
    <n v="6"/>
    <d v="2024-08-10T00:00:00"/>
    <s v="01:05:29"/>
    <m/>
    <n v="1620.856"/>
    <n v="134.94399999999999"/>
    <n v="1551.856"/>
    <n v="1686.8"/>
  </r>
  <r>
    <s v="CID172"/>
    <x v="10"/>
    <s v="Kara"/>
    <s v="Brennan"/>
    <n v="25"/>
    <x v="2"/>
    <x v="4"/>
    <s v="kara.brennan@outlook.com"/>
    <s v="2174 Thomas Avenue, Maciasborough, NJ 41465"/>
    <x v="176"/>
    <d v="2024-10-15T00:00:00"/>
    <s v="13:40:51"/>
    <x v="49"/>
    <n v="33.49"/>
    <n v="1"/>
    <x v="2"/>
    <x v="2"/>
    <n v="1"/>
    <s v="Late_Delivery"/>
    <n v="59"/>
    <n v="5"/>
    <d v="2024-10-20T00:00:00"/>
    <s v="00:35:18"/>
    <m/>
    <n v="92.490000000000009"/>
    <n v="0"/>
    <n v="33.49"/>
    <n v="33.49"/>
  </r>
  <r>
    <s v="CID127"/>
    <x v="76"/>
    <s v="Natasha"/>
    <s v="Michael"/>
    <n v="49"/>
    <x v="0"/>
    <x v="1"/>
    <s v="natasha.michael@gmail.com"/>
    <s v="78992 Justin Estates Suite 226, Floresberg, NM 40797"/>
    <x v="177"/>
    <d v="2024-07-05T00:00:00"/>
    <s v="08:11:19"/>
    <x v="12"/>
    <n v="272.51"/>
    <n v="4"/>
    <x v="2"/>
    <x v="2"/>
    <n v="1"/>
    <s v="Late_Delivery"/>
    <n v="51"/>
    <n v="2"/>
    <d v="2024-07-07T00:00:00"/>
    <s v="18:28:53"/>
    <m/>
    <n v="1141.04"/>
    <n v="0"/>
    <n v="1090.04"/>
    <n v="1090.04"/>
  </r>
  <r>
    <s v="CID103"/>
    <x v="51"/>
    <s v="Jason"/>
    <s v="Nguyen"/>
    <n v="51"/>
    <x v="2"/>
    <x v="4"/>
    <s v="jason.nguyen@yahoo.com"/>
    <s v="7112 Travis Glens Suite 790, Crystalland, WV 38373"/>
    <x v="178"/>
    <d v="2023-03-25T00:00:00"/>
    <s v="02:27:18"/>
    <x v="37"/>
    <n v="133.62"/>
    <n v="2"/>
    <x v="0"/>
    <x v="0"/>
    <n v="1"/>
    <s v="Late_Delivery"/>
    <n v="48"/>
    <n v="5"/>
    <d v="2023-03-30T00:00:00"/>
    <s v="04:48:38"/>
    <m/>
    <n v="293.86080000000004"/>
    <n v="21.379200000000001"/>
    <n v="245.86080000000001"/>
    <n v="267.24"/>
  </r>
  <r>
    <s v="CID188"/>
    <x v="68"/>
    <s v="Kristina"/>
    <s v="Haynes"/>
    <n v="27"/>
    <x v="0"/>
    <x v="1"/>
    <s v="kristina.haynes@yahoo.com"/>
    <s v="18295 Thomas River, Kochville, NH 80868"/>
    <x v="179"/>
    <d v="2023-07-25T00:00:00"/>
    <s v="05:33:41"/>
    <x v="8"/>
    <n v="257.06"/>
    <n v="4"/>
    <x v="2"/>
    <x v="2"/>
    <n v="5"/>
    <s v="Before_time"/>
    <n v="52"/>
    <n v="4"/>
    <d v="2023-07-29T00:00:00"/>
    <s v="13:20:58"/>
    <m/>
    <n v="1080.24"/>
    <n v="0"/>
    <n v="1028.24"/>
    <n v="1028.24"/>
  </r>
  <r>
    <s v="CID172"/>
    <x v="10"/>
    <s v="Kara"/>
    <s v="Brennan"/>
    <n v="25"/>
    <x v="2"/>
    <x v="4"/>
    <s v="kara.brennan@outlook.com"/>
    <s v="2174 Thomas Avenue, Maciasborough, NJ 41465"/>
    <x v="180"/>
    <d v="2024-06-14T00:00:00"/>
    <s v="18:14:45"/>
    <x v="46"/>
    <n v="20"/>
    <n v="5"/>
    <x v="1"/>
    <x v="1"/>
    <n v="6"/>
    <s v="On_time"/>
    <n v="36"/>
    <n v="6"/>
    <d v="2024-06-20T00:00:00"/>
    <s v="13:20:38"/>
    <m/>
    <n v="121"/>
    <n v="15"/>
    <n v="85"/>
    <n v="100"/>
  </r>
  <r>
    <s v="CID170"/>
    <x v="64"/>
    <s v="Bruce"/>
    <s v="Allen"/>
    <n v="32"/>
    <x v="1"/>
    <x v="0"/>
    <s v="bruce.allen@rediffmail.com"/>
    <s v="2417 Brown Ford, West Timothyside, RI 45629"/>
    <x v="181"/>
    <d v="2024-02-21T00:00:00"/>
    <s v="03:08:05"/>
    <x v="42"/>
    <n v="235.63"/>
    <n v="3"/>
    <x v="4"/>
    <x v="4"/>
    <n v="5"/>
    <s v="Before_time"/>
    <n v="44"/>
    <n v="4"/>
    <d v="2024-02-25T00:00:00"/>
    <s v="04:04:13"/>
    <m/>
    <n v="680.20100000000002"/>
    <n v="70.688999999999993"/>
    <n v="636.20100000000002"/>
    <n v="706.89"/>
  </r>
  <r>
    <s v="CID186"/>
    <x v="0"/>
    <s v="Anne"/>
    <s v="Oconnell"/>
    <n v="37"/>
    <x v="0"/>
    <x v="0"/>
    <s v="anne.oconnell@outlook.com"/>
    <s v="2850 Matthew Ford, North Yolandachester, FL 67488"/>
    <x v="182"/>
    <d v="2023-06-18T00:00:00"/>
    <s v="21:06:59"/>
    <x v="37"/>
    <n v="133.62"/>
    <n v="5"/>
    <x v="2"/>
    <x v="2"/>
    <n v="7"/>
    <s v="Before_time"/>
    <n v="58"/>
    <n v="3"/>
    <d v="2023-06-21T00:00:00"/>
    <s v="00:33:10"/>
    <m/>
    <n v="726.1"/>
    <n v="0"/>
    <n v="668.1"/>
    <n v="668.1"/>
  </r>
  <r>
    <s v="CID153"/>
    <x v="47"/>
    <s v="Mitchell"/>
    <s v="Parker"/>
    <n v="39"/>
    <x v="2"/>
    <x v="1"/>
    <s v="mitchell.parker@yahoo.com"/>
    <s v="PSC 3316, Box 9303, APO AE 29513"/>
    <x v="183"/>
    <d v="2024-12-25T00:00:00"/>
    <s v="14:49:31"/>
    <x v="33"/>
    <n v="421.7"/>
    <n v="2"/>
    <x v="0"/>
    <x v="0"/>
    <n v="5"/>
    <s v="Before_time"/>
    <n v="45"/>
    <n v="2"/>
    <d v="2024-12-27T00:00:00"/>
    <s v="04:10:37"/>
    <m/>
    <n v="820.928"/>
    <n v="67.471999999999994"/>
    <n v="775.928"/>
    <n v="843.4"/>
  </r>
  <r>
    <s v="CID147"/>
    <x v="15"/>
    <s v="Mallory"/>
    <s v="Mitchell"/>
    <n v="42"/>
    <x v="1"/>
    <x v="6"/>
    <s v="mallory.mitchell@yahoo.com"/>
    <s v="710 Anthony Wall Suite 137, East Davidstad, NV 61494"/>
    <x v="184"/>
    <d v="2024-06-12T00:00:00"/>
    <s v="19:40:44"/>
    <x v="26"/>
    <n v="372.62"/>
    <n v="1"/>
    <x v="1"/>
    <x v="1"/>
    <n v="3"/>
    <s v="On_time"/>
    <n v="35"/>
    <n v="3"/>
    <d v="2024-06-15T00:00:00"/>
    <s v="16:30:13"/>
    <m/>
    <n v="351.72699999999998"/>
    <n v="55.893000000000001"/>
    <n v="316.72699999999998"/>
    <n v="372.62"/>
  </r>
  <r>
    <s v="CID192"/>
    <x v="52"/>
    <s v="Brandon"/>
    <s v="Cruz"/>
    <n v="32"/>
    <x v="2"/>
    <x v="3"/>
    <s v="brandon.cruz@gmail.com"/>
    <s v="9296 Villanueva Branch, East Kevin, CO 93912"/>
    <x v="185"/>
    <d v="2024-06-12T00:00:00"/>
    <s v="16:25:28"/>
    <x v="5"/>
    <n v="363.64"/>
    <n v="3"/>
    <x v="2"/>
    <x v="2"/>
    <n v="3"/>
    <s v="Late_Delivery"/>
    <n v="70"/>
    <n v="6"/>
    <d v="2024-06-18T00:00:00"/>
    <s v="13:33:22"/>
    <m/>
    <n v="1160.92"/>
    <n v="0"/>
    <n v="1090.92"/>
    <n v="1090.92"/>
  </r>
  <r>
    <s v="CID159"/>
    <x v="4"/>
    <s v="Christine"/>
    <s v="West"/>
    <n v="53"/>
    <x v="2"/>
    <x v="2"/>
    <s v="christine.west@gmail.com"/>
    <s v="Unit 1433 Box 0246, DPO AP 94952"/>
    <x v="186"/>
    <d v="2024-09-26T00:00:00"/>
    <s v="05:57:45"/>
    <x v="4"/>
    <n v="330.11"/>
    <n v="4"/>
    <x v="3"/>
    <x v="3"/>
    <n v="4"/>
    <s v="Late_Delivery"/>
    <n v="47"/>
    <n v="5"/>
    <d v="2024-10-01T00:00:00"/>
    <s v="08:04:55"/>
    <m/>
    <n v="1103.3520000000001"/>
    <n v="264.08800000000002"/>
    <n v="1056.3520000000001"/>
    <n v="1320.44"/>
  </r>
  <r>
    <s v="CID120"/>
    <x v="28"/>
    <s v="Jenny"/>
    <s v="Estrada"/>
    <n v="45"/>
    <x v="0"/>
    <x v="1"/>
    <s v="jenny.estrada@yahoo.com"/>
    <s v="792 Carlos Islands, West David, CT 16522"/>
    <x v="187"/>
    <d v="2023-06-22T00:00:00"/>
    <s v="13:16:36"/>
    <x v="48"/>
    <n v="107.47"/>
    <n v="1"/>
    <x v="4"/>
    <x v="4"/>
    <n v="5"/>
    <s v="On_time"/>
    <n v="56"/>
    <n v="5"/>
    <d v="2023-06-27T00:00:00"/>
    <s v="23:44:01"/>
    <m/>
    <n v="152.72300000000001"/>
    <n v="10.747"/>
    <n v="96.722999999999999"/>
    <n v="107.47"/>
  </r>
  <r>
    <s v="CID148"/>
    <x v="13"/>
    <s v="Erin"/>
    <s v="Miller"/>
    <n v="46"/>
    <x v="0"/>
    <x v="6"/>
    <s v="erin.miller@gmail.com"/>
    <s v="65972 Peterson Route, Port Andrewfurt, SD 32892"/>
    <x v="188"/>
    <d v="2024-10-21T00:00:00"/>
    <s v="07:44:52"/>
    <x v="17"/>
    <n v="126.19"/>
    <n v="1"/>
    <x v="3"/>
    <x v="3"/>
    <n v="5"/>
    <s v="Before_time"/>
    <n v="68"/>
    <n v="2"/>
    <d v="2024-10-23T00:00:00"/>
    <s v="00:28:50"/>
    <m/>
    <n v="168.952"/>
    <n v="25.238000000000003"/>
    <n v="100.952"/>
    <n v="126.19"/>
  </r>
  <r>
    <s v="CID140"/>
    <x v="59"/>
    <s v="Beth"/>
    <s v="Mason"/>
    <n v="45"/>
    <x v="2"/>
    <x v="3"/>
    <s v="beth.mason@outlook.com"/>
    <s v="58998 Sherry Haven, East Richard, FL 90775"/>
    <x v="189"/>
    <d v="2023-05-14T00:00:00"/>
    <s v="12:51:15"/>
    <x v="45"/>
    <n v="381.73"/>
    <n v="2"/>
    <x v="2"/>
    <x v="2"/>
    <n v="5"/>
    <s v="Late_Delivery"/>
    <n v="38"/>
    <n v="6"/>
    <d v="2023-05-20T00:00:00"/>
    <s v="23:34:55"/>
    <m/>
    <n v="801.46"/>
    <n v="0"/>
    <n v="763.46"/>
    <n v="763.46"/>
  </r>
  <r>
    <s v="CID134"/>
    <x v="45"/>
    <s v="Debra"/>
    <s v="Hayes"/>
    <n v="33"/>
    <x v="0"/>
    <x v="6"/>
    <s v="debra.hayes@yahoo.com"/>
    <s v="4601 Miller Lock, Williamsbury, IA 10943"/>
    <x v="190"/>
    <d v="2023-05-23T00:00:00"/>
    <s v="22:55:27"/>
    <x v="47"/>
    <n v="292.14999999999998"/>
    <n v="5"/>
    <x v="4"/>
    <x v="4"/>
    <n v="6"/>
    <s v="Before_time"/>
    <n v="68"/>
    <n v="2"/>
    <d v="2023-05-25T00:00:00"/>
    <s v="22:37:23"/>
    <m/>
    <n v="1382.675"/>
    <n v="146.07499999999999"/>
    <n v="1314.675"/>
    <n v="1460.75"/>
  </r>
  <r>
    <s v="CID153"/>
    <x v="47"/>
    <s v="Mitchell"/>
    <s v="Parker"/>
    <n v="39"/>
    <x v="2"/>
    <x v="1"/>
    <s v="mitchell.parker@yahoo.com"/>
    <s v="PSC 3316, Box 9303, APO AE 29513"/>
    <x v="191"/>
    <d v="2023-04-20T00:00:00"/>
    <s v="01:31:08"/>
    <x v="34"/>
    <n v="136.30000000000001"/>
    <n v="3"/>
    <x v="1"/>
    <x v="1"/>
    <n v="6"/>
    <s v="Late_Delivery"/>
    <n v="42"/>
    <n v="7"/>
    <d v="2023-04-27T00:00:00"/>
    <s v="14:39:46"/>
    <m/>
    <n v="389.565"/>
    <n v="61.335000000000008"/>
    <n v="347.565"/>
    <n v="408.90000000000003"/>
  </r>
  <r>
    <s v="CID118"/>
    <x v="58"/>
    <s v="Amy"/>
    <s v="Ellis"/>
    <n v="44"/>
    <x v="2"/>
    <x v="3"/>
    <s v="amy.ellis@gmail.com"/>
    <s v="217 Scott Ville, Christophermouth, NH 83776"/>
    <x v="192"/>
    <d v="2023-10-09T00:00:00"/>
    <s v="15:02:28"/>
    <x v="39"/>
    <n v="403.03"/>
    <n v="3"/>
    <x v="1"/>
    <x v="1"/>
    <n v="4"/>
    <s v="Late_Delivery"/>
    <n v="67"/>
    <n v="5"/>
    <d v="2023-10-14T00:00:00"/>
    <s v="04:23:57"/>
    <m/>
    <n v="1094.7265"/>
    <n v="181.36349999999999"/>
    <n v="1027.7265"/>
    <n v="1209.0899999999999"/>
  </r>
  <r>
    <s v="CID165"/>
    <x v="40"/>
    <s v="Mary"/>
    <s v="Knight"/>
    <n v="28"/>
    <x v="2"/>
    <x v="2"/>
    <s v="mary.knight@yahoo.com"/>
    <s v="907 Kimberly Hill, Murrayfort, NH 88384"/>
    <x v="193"/>
    <d v="2023-11-11T00:00:00"/>
    <s v="06:54:02"/>
    <x v="40"/>
    <n v="445.81"/>
    <n v="2"/>
    <x v="2"/>
    <x v="2"/>
    <n v="7"/>
    <s v="Before_time"/>
    <n v="67"/>
    <n v="1"/>
    <d v="2023-11-12T00:00:00"/>
    <s v="12:39:46"/>
    <m/>
    <n v="958.62"/>
    <n v="0"/>
    <n v="891.62"/>
    <n v="891.62"/>
  </r>
  <r>
    <s v="CID189"/>
    <x v="77"/>
    <s v="Christine"/>
    <s v="Aguilar"/>
    <n v="46"/>
    <x v="0"/>
    <x v="0"/>
    <s v="christine.aguilar@gmail.com"/>
    <s v="3284 Martin Neck, Lopezville, NY 69154"/>
    <x v="194"/>
    <d v="2023-05-05T00:00:00"/>
    <s v="08:20:59"/>
    <x v="23"/>
    <n v="129.75"/>
    <n v="5"/>
    <x v="3"/>
    <x v="3"/>
    <n v="6"/>
    <s v="On_time"/>
    <n v="38"/>
    <n v="6"/>
    <d v="2023-05-11T00:00:00"/>
    <s v="17:38:42"/>
    <m/>
    <n v="557"/>
    <n v="129.75"/>
    <n v="519"/>
    <n v="648.75"/>
  </r>
  <r>
    <s v="CID195"/>
    <x v="49"/>
    <s v="Sarah"/>
    <s v="Butler"/>
    <n v="64"/>
    <x v="0"/>
    <x v="0"/>
    <s v="sarah.butler@rediffmail.com"/>
    <s v="14131 Edwin Shore Apt. 190, Deniseberg, MD 90905"/>
    <x v="195"/>
    <d v="2023-12-22T00:00:00"/>
    <s v="14:00:27"/>
    <x v="49"/>
    <n v="33.49"/>
    <n v="3"/>
    <x v="1"/>
    <x v="1"/>
    <n v="2"/>
    <s v="On_time"/>
    <n v="62"/>
    <n v="2"/>
    <d v="2023-12-24T00:00:00"/>
    <s v="12:31:34"/>
    <m/>
    <n v="147.39949999999999"/>
    <n v="15.070499999999999"/>
    <n v="85.399500000000003"/>
    <n v="100.47"/>
  </r>
  <r>
    <s v="CID192"/>
    <x v="52"/>
    <s v="Brandon"/>
    <s v="Cruz"/>
    <n v="32"/>
    <x v="2"/>
    <x v="3"/>
    <s v="brandon.cruz@gmail.com"/>
    <s v="9296 Villanueva Branch, East Kevin, CO 93912"/>
    <x v="196"/>
    <d v="2025-02-01T00:00:00"/>
    <s v="15:26:43"/>
    <x v="4"/>
    <n v="330.11"/>
    <n v="4"/>
    <x v="3"/>
    <x v="3"/>
    <n v="2"/>
    <s v="Late_Delivery"/>
    <n v="69"/>
    <n v="6"/>
    <d v="2025-02-07T00:00:00"/>
    <s v="23:02:25"/>
    <m/>
    <n v="1125.3520000000001"/>
    <n v="264.08800000000002"/>
    <n v="1056.3520000000001"/>
    <n v="1320.44"/>
  </r>
  <r>
    <s v="CID181"/>
    <x v="37"/>
    <s v="Alexandra"/>
    <s v="Smith"/>
    <n v="70"/>
    <x v="0"/>
    <x v="0"/>
    <s v="alexandra.smith@rediffmail.com"/>
    <s v="48611 Clark Village, West Anne, GA 92865"/>
    <x v="197"/>
    <d v="2023-04-29T00:00:00"/>
    <s v="22:25:26"/>
    <x v="2"/>
    <n v="202.54"/>
    <n v="5"/>
    <x v="1"/>
    <x v="1"/>
    <n v="1"/>
    <s v="Late_Delivery"/>
    <n v="47"/>
    <n v="6"/>
    <d v="2023-05-05T00:00:00"/>
    <s v="20:52:06"/>
    <m/>
    <n v="907.79499999999996"/>
    <n v="151.90499999999997"/>
    <n v="860.79499999999996"/>
    <n v="1012.6999999999999"/>
  </r>
  <r>
    <s v="CID145"/>
    <x v="54"/>
    <s v="Ashley"/>
    <s v="Romero"/>
    <n v="35"/>
    <x v="0"/>
    <x v="0"/>
    <s v="ashley.romero@yahoo.com"/>
    <s v="547 Kerry Expressway, Lake Amanda, AR 20321"/>
    <x v="198"/>
    <d v="2023-11-23T00:00:00"/>
    <s v="00:02:50"/>
    <x v="1"/>
    <n v="166.28"/>
    <n v="4"/>
    <x v="4"/>
    <x v="4"/>
    <n v="4"/>
    <s v="On_time"/>
    <n v="44"/>
    <n v="4"/>
    <d v="2023-11-27T00:00:00"/>
    <s v="20:49:10"/>
    <m/>
    <n v="642.60800000000006"/>
    <n v="66.512"/>
    <n v="598.60800000000006"/>
    <n v="665.12"/>
  </r>
  <r>
    <s v="CID165"/>
    <x v="40"/>
    <s v="Mary"/>
    <s v="Knight"/>
    <n v="28"/>
    <x v="2"/>
    <x v="2"/>
    <s v="mary.knight@yahoo.com"/>
    <s v="907 Kimberly Hill, Murrayfort, NH 88384"/>
    <x v="199"/>
    <d v="2024-08-19T00:00:00"/>
    <s v="22:46:23"/>
    <x v="47"/>
    <n v="292.14999999999998"/>
    <n v="2"/>
    <x v="1"/>
    <x v="1"/>
    <n v="4"/>
    <s v="Before_time"/>
    <n v="58"/>
    <n v="3"/>
    <d v="2024-08-22T00:00:00"/>
    <s v="08:30:57"/>
    <m/>
    <n v="554.65499999999997"/>
    <n v="87.644999999999996"/>
    <n v="496.65499999999997"/>
    <n v="584.29999999999995"/>
  </r>
  <r>
    <s v="CID189"/>
    <x v="77"/>
    <s v="Christine"/>
    <s v="Aguilar"/>
    <n v="46"/>
    <x v="0"/>
    <x v="0"/>
    <s v="christine.aguilar@gmail.com"/>
    <s v="3284 Martin Neck, Lopezville, NY 69154"/>
    <x v="200"/>
    <d v="2024-07-08T00:00:00"/>
    <s v="08:00:47"/>
    <x v="12"/>
    <n v="272.51"/>
    <n v="4"/>
    <x v="2"/>
    <x v="2"/>
    <n v="7"/>
    <s v="Before_time"/>
    <n v="38"/>
    <n v="1"/>
    <d v="2024-07-09T00:00:00"/>
    <s v="17:20:58"/>
    <m/>
    <n v="1128.04"/>
    <n v="0"/>
    <n v="1090.04"/>
    <n v="1090.04"/>
  </r>
  <r>
    <s v="CID120"/>
    <x v="28"/>
    <s v="Jenny"/>
    <s v="Estrada"/>
    <n v="45"/>
    <x v="0"/>
    <x v="1"/>
    <s v="jenny.estrada@yahoo.com"/>
    <s v="792 Carlos Islands, West David, CT 16522"/>
    <x v="201"/>
    <d v="2023-06-02T00:00:00"/>
    <s v="09:33:35"/>
    <x v="21"/>
    <n v="157.63999999999999"/>
    <n v="3"/>
    <x v="3"/>
    <x v="3"/>
    <n v="2"/>
    <s v="Late_Delivery"/>
    <n v="47"/>
    <n v="6"/>
    <d v="2023-06-08T00:00:00"/>
    <s v="13:06:14"/>
    <m/>
    <n v="425.33600000000001"/>
    <n v="94.584000000000003"/>
    <n v="378.33600000000001"/>
    <n v="472.91999999999996"/>
  </r>
  <r>
    <s v="CID190"/>
    <x v="27"/>
    <s v="Valerie"/>
    <s v="Carr"/>
    <n v="26"/>
    <x v="2"/>
    <x v="6"/>
    <s v="valerie.carr@rediffmail.com"/>
    <s v="981 Emily Stream, South Brianna, CO 98063"/>
    <x v="202"/>
    <d v="2023-05-07T00:00:00"/>
    <s v="00:13:11"/>
    <x v="20"/>
    <n v="62.42"/>
    <n v="3"/>
    <x v="1"/>
    <x v="1"/>
    <n v="5"/>
    <s v="On_time"/>
    <n v="62"/>
    <n v="5"/>
    <d v="2023-05-12T00:00:00"/>
    <s v="18:31:17"/>
    <m/>
    <n v="221.17099999999999"/>
    <n v="28.088999999999995"/>
    <n v="159.17099999999999"/>
    <n v="187.26"/>
  </r>
  <r>
    <s v="CID175"/>
    <x v="50"/>
    <s v="Katherine"/>
    <s v="Weber"/>
    <n v="42"/>
    <x v="2"/>
    <x v="2"/>
    <s v="katherine.weber@outlook.com"/>
    <s v="04887 Kimberly Union Apt. 645, Port Laura, IL 97219"/>
    <x v="203"/>
    <d v="2024-07-22T00:00:00"/>
    <s v="20:01:38"/>
    <x v="5"/>
    <n v="363.64"/>
    <n v="3"/>
    <x v="0"/>
    <x v="0"/>
    <n v="5"/>
    <s v="Late_Delivery"/>
    <n v="53"/>
    <n v="7"/>
    <d v="2024-07-29T00:00:00"/>
    <s v="12:58:48"/>
    <m/>
    <n v="1056.6464000000001"/>
    <n v="87.273600000000002"/>
    <n v="1003.6464000000001"/>
    <n v="1090.92"/>
  </r>
  <r>
    <s v="CID174"/>
    <x v="53"/>
    <s v="Jodi"/>
    <s v="Whitney"/>
    <n v="33"/>
    <x v="2"/>
    <x v="6"/>
    <s v="jodi.whitney@yahoo.com"/>
    <s v="72876 Lara Key Suite 383, Gutierrezton, OR 71683"/>
    <x v="204"/>
    <d v="2023-07-18T00:00:00"/>
    <s v="06:33:55"/>
    <x v="38"/>
    <n v="477.52"/>
    <n v="4"/>
    <x v="3"/>
    <x v="3"/>
    <n v="5"/>
    <s v="Before_time"/>
    <n v="55"/>
    <n v="2"/>
    <d v="2023-07-20T00:00:00"/>
    <s v="13:05:17"/>
    <m/>
    <n v="1583.0640000000001"/>
    <n v="382.01599999999996"/>
    <n v="1528.0640000000001"/>
    <n v="1910.08"/>
  </r>
  <r>
    <s v="CID162"/>
    <x v="78"/>
    <s v="Mark"/>
    <s v="Summers"/>
    <n v="55"/>
    <x v="1"/>
    <x v="5"/>
    <s v="mark.summers@outlook.com"/>
    <s v="08413 Lynch Parkway, Calderonstad, NV 32697"/>
    <x v="205"/>
    <d v="2023-08-30T00:00:00"/>
    <s v="19:46:32"/>
    <x v="17"/>
    <n v="126.19"/>
    <n v="2"/>
    <x v="2"/>
    <x v="2"/>
    <n v="5"/>
    <s v="Late_Delivery"/>
    <n v="59"/>
    <n v="6"/>
    <d v="2023-09-05T00:00:00"/>
    <s v="23:22:12"/>
    <m/>
    <n v="311.38"/>
    <n v="0"/>
    <n v="252.38"/>
    <n v="252.38"/>
  </r>
  <r>
    <s v="CID185"/>
    <x v="66"/>
    <s v="Melissa"/>
    <s v="Levy"/>
    <n v="30"/>
    <x v="0"/>
    <x v="5"/>
    <s v="melissa.levy@rediffmail.com"/>
    <s v="3303 Kennedy Springs Suite 830, East Amybury, MI 95595"/>
    <x v="206"/>
    <d v="2024-01-29T00:00:00"/>
    <s v="20:47:44"/>
    <x v="32"/>
    <n v="87.09"/>
    <n v="1"/>
    <x v="4"/>
    <x v="4"/>
    <n v="1"/>
    <s v="On_time"/>
    <n v="61"/>
    <n v="1"/>
    <d v="2024-01-30T00:00:00"/>
    <s v="00:16:22"/>
    <m/>
    <n v="139.381"/>
    <n v="8.7090000000000014"/>
    <n v="78.381"/>
    <n v="87.09"/>
  </r>
  <r>
    <s v="CID187"/>
    <x v="36"/>
    <s v="Jason"/>
    <s v="Lopez"/>
    <n v="40"/>
    <x v="2"/>
    <x v="6"/>
    <s v="jason.lopez@outlook.com"/>
    <s v="934 Levine View, Brentport, NE 38210"/>
    <x v="207"/>
    <d v="2023-05-28T00:00:00"/>
    <s v="14:37:23"/>
    <x v="44"/>
    <n v="110.95"/>
    <n v="3"/>
    <x v="4"/>
    <x v="4"/>
    <n v="6"/>
    <s v="Before_time"/>
    <n v="65"/>
    <n v="5"/>
    <d v="2023-06-02T00:00:00"/>
    <s v="01:58:28"/>
    <m/>
    <n v="364.56500000000005"/>
    <n v="33.284999999999997"/>
    <n v="299.56500000000005"/>
    <n v="332.85"/>
  </r>
  <r>
    <s v="CID118"/>
    <x v="58"/>
    <s v="Amy"/>
    <s v="Ellis"/>
    <n v="44"/>
    <x v="2"/>
    <x v="3"/>
    <s v="amy.ellis@gmail.com"/>
    <s v="217 Scott Ville, Christophermouth, NH 83776"/>
    <x v="208"/>
    <d v="2023-12-25T00:00:00"/>
    <s v="00:08:51"/>
    <x v="49"/>
    <n v="33.49"/>
    <n v="1"/>
    <x v="0"/>
    <x v="0"/>
    <n v="2"/>
    <s v="Before_time"/>
    <n v="67"/>
    <n v="1"/>
    <d v="2023-12-26T00:00:00"/>
    <s v="10:47:50"/>
    <m/>
    <n v="97.8108"/>
    <n v="2.6792000000000002"/>
    <n v="30.810800000000004"/>
    <n v="33.49"/>
  </r>
  <r>
    <s v="CID135"/>
    <x v="39"/>
    <s v="Amanda"/>
    <s v="Howard"/>
    <n v="52"/>
    <x v="2"/>
    <x v="7"/>
    <s v="amanda.howard@outlook.com"/>
    <s v="56908 Sydney Park Suite 632, West Anthonyport, NC 15954"/>
    <x v="209"/>
    <d v="2023-03-16T00:00:00"/>
    <s v="09:31:27"/>
    <x v="36"/>
    <n v="425.59"/>
    <n v="3"/>
    <x v="0"/>
    <x v="0"/>
    <n v="7"/>
    <s v="Before_time"/>
    <n v="68"/>
    <n v="4"/>
    <d v="2023-03-20T00:00:00"/>
    <s v="22:18:21"/>
    <m/>
    <n v="1242.6284000000001"/>
    <n v="102.1416"/>
    <n v="1174.6284000000001"/>
    <n v="1276.77"/>
  </r>
  <r>
    <s v="CID162"/>
    <x v="78"/>
    <s v="Mark"/>
    <s v="Summers"/>
    <n v="55"/>
    <x v="1"/>
    <x v="5"/>
    <s v="mark.summers@outlook.com"/>
    <s v="08413 Lynch Parkway, Calderonstad, NV 32697"/>
    <x v="210"/>
    <d v="2023-04-23T00:00:00"/>
    <s v="09:46:43"/>
    <x v="35"/>
    <n v="441.03"/>
    <n v="5"/>
    <x v="1"/>
    <x v="1"/>
    <n v="3"/>
    <s v="Late_Delivery"/>
    <n v="37"/>
    <n v="5"/>
    <d v="2023-04-28T00:00:00"/>
    <s v="06:31:08"/>
    <m/>
    <n v="1911.3774999999996"/>
    <n v="330.77249999999992"/>
    <n v="1874.3774999999996"/>
    <n v="2205.1499999999996"/>
  </r>
  <r>
    <s v="CID103"/>
    <x v="51"/>
    <s v="Jason"/>
    <s v="Nguyen"/>
    <n v="51"/>
    <x v="2"/>
    <x v="4"/>
    <s v="jason.nguyen@yahoo.com"/>
    <s v="7112 Travis Glens Suite 790, Crystalland, WV 38373"/>
    <x v="211"/>
    <d v="2024-02-17T00:00:00"/>
    <s v="21:17:39"/>
    <x v="23"/>
    <n v="129.75"/>
    <n v="3"/>
    <x v="1"/>
    <x v="1"/>
    <n v="5"/>
    <s v="Before_time"/>
    <n v="37"/>
    <n v="2"/>
    <d v="2024-02-19T00:00:00"/>
    <s v="06:07:50"/>
    <m/>
    <n v="367.86250000000001"/>
    <n v="58.387500000000003"/>
    <n v="330.86250000000001"/>
    <n v="389.25"/>
  </r>
  <r>
    <s v="CID104"/>
    <x v="79"/>
    <s v="Gary"/>
    <s v="Huff"/>
    <n v="18"/>
    <x v="0"/>
    <x v="2"/>
    <s v="gary.huff@gmail.com"/>
    <s v="58608 Alexander Terrace, South Bryan, SC 85541"/>
    <x v="212"/>
    <d v="2024-02-27T00:00:00"/>
    <s v="12:28:28"/>
    <x v="42"/>
    <n v="235.63"/>
    <n v="1"/>
    <x v="0"/>
    <x v="0"/>
    <n v="6"/>
    <s v="Before_time"/>
    <n v="58"/>
    <n v="5"/>
    <d v="2024-03-03T00:00:00"/>
    <s v="12:21:43"/>
    <m/>
    <n v="274.77960000000002"/>
    <n v="18.8504"/>
    <n v="216.77960000000002"/>
    <n v="235.63"/>
  </r>
  <r>
    <s v="CID137"/>
    <x v="14"/>
    <s v="Gina"/>
    <s v="Moreno"/>
    <n v="36"/>
    <x v="2"/>
    <x v="4"/>
    <s v="gina.moreno@rediffmail.com"/>
    <s v="USS Murray, FPO AP 66559"/>
    <x v="213"/>
    <d v="2024-09-14T00:00:00"/>
    <s v="03:29:39"/>
    <x v="34"/>
    <n v="136.30000000000001"/>
    <n v="2"/>
    <x v="3"/>
    <x v="3"/>
    <n v="7"/>
    <s v="Before_time"/>
    <n v="51"/>
    <n v="1"/>
    <d v="2024-09-15T00:00:00"/>
    <s v="23:33:34"/>
    <m/>
    <n v="269.08000000000004"/>
    <n v="54.52"/>
    <n v="218.08000000000004"/>
    <n v="272.60000000000002"/>
  </r>
  <r>
    <s v="CID136"/>
    <x v="46"/>
    <s v="Brittany"/>
    <s v="Stewart"/>
    <n v="68"/>
    <x v="2"/>
    <x v="7"/>
    <s v="brittany.stewart@gmail.com"/>
    <s v="6250 David Loaf Suite 561, North Pamelaberg, WV 63652"/>
    <x v="214"/>
    <d v="2023-07-05T00:00:00"/>
    <s v="18:27:23"/>
    <x v="48"/>
    <n v="107.47"/>
    <n v="4"/>
    <x v="3"/>
    <x v="3"/>
    <n v="5"/>
    <s v="Before_time"/>
    <n v="51"/>
    <n v="3"/>
    <d v="2023-07-08T00:00:00"/>
    <s v="12:42:53"/>
    <m/>
    <n v="394.904"/>
    <n v="85.975999999999999"/>
    <n v="343.904"/>
    <n v="429.88"/>
  </r>
  <r>
    <s v="CID109"/>
    <x v="75"/>
    <s v="Rachael"/>
    <s v="Robinson"/>
    <n v="24"/>
    <x v="2"/>
    <x v="7"/>
    <s v="rachael.robinson@rediffmail.com"/>
    <s v="0889 Brady Points, Port Meganhaven, NM 26553"/>
    <x v="215"/>
    <d v="2023-12-11T00:00:00"/>
    <s v="14:41:09"/>
    <x v="6"/>
    <n v="275.44"/>
    <n v="2"/>
    <x v="0"/>
    <x v="0"/>
    <n v="2"/>
    <s v="Late_Delivery"/>
    <n v="36"/>
    <n v="5"/>
    <d v="2023-12-16T00:00:00"/>
    <s v="07:56:25"/>
    <m/>
    <n v="542.80960000000005"/>
    <n v="44.070399999999999"/>
    <n v="506.80960000000005"/>
    <n v="550.88"/>
  </r>
  <r>
    <s v="CID112"/>
    <x v="69"/>
    <s v="Lindsey"/>
    <s v="Byrd"/>
    <n v="32"/>
    <x v="0"/>
    <x v="5"/>
    <s v="lindsey.byrd@rediffmail.com"/>
    <s v="USCGC Harper, FPO AA 38349"/>
    <x v="216"/>
    <d v="2024-10-23T00:00:00"/>
    <s v="11:50:19"/>
    <x v="48"/>
    <n v="107.47"/>
    <n v="2"/>
    <x v="1"/>
    <x v="1"/>
    <n v="5"/>
    <s v="Before_time"/>
    <n v="55"/>
    <n v="4"/>
    <d v="2024-10-27T00:00:00"/>
    <s v="11:48:40"/>
    <m/>
    <n v="237.69899999999998"/>
    <n v="32.241"/>
    <n v="182.69899999999998"/>
    <n v="214.94"/>
  </r>
  <r>
    <s v="CID149"/>
    <x v="3"/>
    <s v="Angela"/>
    <s v="Horne"/>
    <n v="49"/>
    <x v="2"/>
    <x v="0"/>
    <s v="angela.horne@outlook.com"/>
    <s v="USNV Mueller, FPO AP 54648"/>
    <x v="217"/>
    <d v="2024-10-13T00:00:00"/>
    <s v="10:24:24"/>
    <x v="22"/>
    <n v="158.53"/>
    <n v="5"/>
    <x v="0"/>
    <x v="0"/>
    <n v="2"/>
    <s v="Late_Delivery"/>
    <n v="64"/>
    <n v="4"/>
    <d v="2024-10-17T00:00:00"/>
    <s v="20:08:57"/>
    <m/>
    <n v="793.23800000000006"/>
    <n v="63.411999999999999"/>
    <n v="729.23800000000006"/>
    <n v="792.65"/>
  </r>
  <r>
    <s v="CID179"/>
    <x v="18"/>
    <s v="Christian"/>
    <s v="Clayton"/>
    <n v="39"/>
    <x v="1"/>
    <x v="5"/>
    <s v="christian.clayton@yahoo.com"/>
    <s v="065 Madison Way, Smithstad, CT 68011"/>
    <x v="218"/>
    <d v="2024-09-06T00:00:00"/>
    <s v="23:35:16"/>
    <x v="5"/>
    <n v="363.64"/>
    <n v="2"/>
    <x v="3"/>
    <x v="3"/>
    <n v="6"/>
    <s v="Before_time"/>
    <n v="37"/>
    <n v="3"/>
    <d v="2024-09-09T00:00:00"/>
    <s v="01:46:46"/>
    <m/>
    <n v="618.82399999999996"/>
    <n v="145.45599999999999"/>
    <n v="581.82399999999996"/>
    <n v="727.28"/>
  </r>
  <r>
    <s v="CID121"/>
    <x v="30"/>
    <s v="Julie"/>
    <s v="Meyer"/>
    <n v="23"/>
    <x v="0"/>
    <x v="0"/>
    <s v="julie.meyer@yahoo.com"/>
    <s v="17381 Smith Ramp Suite 398, Courtneyville, AL 17756"/>
    <x v="219"/>
    <d v="2024-07-31T00:00:00"/>
    <s v="04:53:37"/>
    <x v="34"/>
    <n v="136.30000000000001"/>
    <n v="2"/>
    <x v="4"/>
    <x v="4"/>
    <n v="3"/>
    <s v="Late_Delivery"/>
    <n v="47"/>
    <n v="7"/>
    <d v="2024-08-07T00:00:00"/>
    <s v="07:56:46"/>
    <m/>
    <n v="292.34000000000003"/>
    <n v="27.26"/>
    <n v="245.34000000000003"/>
    <n v="272.60000000000002"/>
  </r>
  <r>
    <s v="CID162"/>
    <x v="78"/>
    <s v="Mark"/>
    <s v="Summers"/>
    <n v="55"/>
    <x v="1"/>
    <x v="5"/>
    <s v="mark.summers@outlook.com"/>
    <s v="08413 Lynch Parkway, Calderonstad, NV 32697"/>
    <x v="220"/>
    <d v="2024-04-26T00:00:00"/>
    <s v="21:25:23"/>
    <x v="30"/>
    <n v="369.03"/>
    <n v="3"/>
    <x v="3"/>
    <x v="3"/>
    <n v="2"/>
    <s v="Late_Delivery"/>
    <n v="65"/>
    <n v="4"/>
    <d v="2024-04-30T00:00:00"/>
    <s v="15:58:45"/>
    <m/>
    <n v="950.67200000000003"/>
    <n v="221.41800000000001"/>
    <n v="885.67200000000003"/>
    <n v="1107.0899999999999"/>
  </r>
  <r>
    <s v="CID166"/>
    <x v="23"/>
    <s v="Taylor"/>
    <s v="Davis"/>
    <n v="54"/>
    <x v="1"/>
    <x v="0"/>
    <s v="taylor.davis@yahoo.com"/>
    <s v="USCGC Simmons, FPO AA 60167"/>
    <x v="221"/>
    <d v="2023-06-28T00:00:00"/>
    <s v="18:03:08"/>
    <x v="45"/>
    <n v="381.73"/>
    <n v="2"/>
    <x v="1"/>
    <x v="1"/>
    <n v="3"/>
    <s v="Late_Delivery"/>
    <n v="70"/>
    <n v="7"/>
    <d v="2023-07-05T00:00:00"/>
    <s v="10:45:58"/>
    <m/>
    <n v="718.94100000000003"/>
    <n v="114.51900000000002"/>
    <n v="648.94100000000003"/>
    <n v="763.46"/>
  </r>
  <r>
    <s v="CID140"/>
    <x v="59"/>
    <s v="Beth"/>
    <s v="Mason"/>
    <n v="45"/>
    <x v="2"/>
    <x v="3"/>
    <s v="beth.mason@outlook.com"/>
    <s v="58998 Sherry Haven, East Richard, FL 90775"/>
    <x v="222"/>
    <d v="2025-01-20T00:00:00"/>
    <s v="02:55:39"/>
    <x v="33"/>
    <n v="421.7"/>
    <n v="3"/>
    <x v="4"/>
    <x v="4"/>
    <n v="6"/>
    <s v="Before_time"/>
    <n v="38"/>
    <n v="3"/>
    <d v="2025-01-23T00:00:00"/>
    <s v="13:12:04"/>
    <m/>
    <n v="1176.5899999999999"/>
    <n v="126.51"/>
    <n v="1138.5899999999999"/>
    <n v="1265.0999999999999"/>
  </r>
  <r>
    <s v="CID162"/>
    <x v="78"/>
    <s v="Mark"/>
    <s v="Summers"/>
    <n v="55"/>
    <x v="1"/>
    <x v="5"/>
    <s v="mark.summers@outlook.com"/>
    <s v="08413 Lynch Parkway, Calderonstad, NV 32697"/>
    <x v="223"/>
    <d v="2023-09-17T00:00:00"/>
    <s v="23:25:51"/>
    <x v="4"/>
    <n v="330.11"/>
    <n v="3"/>
    <x v="0"/>
    <x v="0"/>
    <n v="2"/>
    <s v="Late_Delivery"/>
    <n v="40"/>
    <n v="5"/>
    <d v="2023-09-22T00:00:00"/>
    <s v="09:03:16"/>
    <m/>
    <n v="951.10360000000003"/>
    <n v="79.226399999999998"/>
    <n v="911.10360000000003"/>
    <n v="990.33"/>
  </r>
  <r>
    <s v="CID190"/>
    <x v="27"/>
    <s v="Valerie"/>
    <s v="Carr"/>
    <n v="26"/>
    <x v="2"/>
    <x v="6"/>
    <s v="valerie.carr@rediffmail.com"/>
    <s v="981 Emily Stream, South Brianna, CO 98063"/>
    <x v="224"/>
    <d v="2024-09-02T00:00:00"/>
    <s v="05:28:12"/>
    <x v="26"/>
    <n v="372.62"/>
    <n v="1"/>
    <x v="4"/>
    <x v="4"/>
    <n v="4"/>
    <s v="On_time"/>
    <n v="36"/>
    <n v="4"/>
    <d v="2024-09-06T00:00:00"/>
    <s v="09:29:13"/>
    <m/>
    <n v="371.358"/>
    <n v="37.262"/>
    <n v="335.358"/>
    <n v="372.62"/>
  </r>
  <r>
    <s v="CID104"/>
    <x v="79"/>
    <s v="Gary"/>
    <s v="Huff"/>
    <n v="18"/>
    <x v="0"/>
    <x v="2"/>
    <s v="gary.huff@gmail.com"/>
    <s v="58608 Alexander Terrace, South Bryan, SC 85541"/>
    <x v="225"/>
    <d v="2023-10-18T00:00:00"/>
    <s v="16:44:13"/>
    <x v="24"/>
    <n v="481.48"/>
    <n v="3"/>
    <x v="4"/>
    <x v="4"/>
    <n v="2"/>
    <s v="Late_Delivery"/>
    <n v="42"/>
    <n v="4"/>
    <d v="2023-10-22T00:00:00"/>
    <s v="23:19:19"/>
    <m/>
    <n v="1341.9960000000001"/>
    <n v="144.44400000000002"/>
    <n v="1299.9960000000001"/>
    <n v="1444.44"/>
  </r>
  <r>
    <s v="CID147"/>
    <x v="15"/>
    <s v="Mallory"/>
    <s v="Mitchell"/>
    <n v="42"/>
    <x v="1"/>
    <x v="6"/>
    <s v="mallory.mitchell@yahoo.com"/>
    <s v="710 Anthony Wall Suite 137, East Davidstad, NV 61494"/>
    <x v="226"/>
    <d v="2024-09-20T00:00:00"/>
    <s v="17:52:44"/>
    <x v="0"/>
    <n v="308.88"/>
    <n v="1"/>
    <x v="1"/>
    <x v="1"/>
    <n v="3"/>
    <s v="Before_time"/>
    <n v="54"/>
    <n v="1"/>
    <d v="2024-09-21T00:00:00"/>
    <s v="14:18:48"/>
    <m/>
    <n v="316.548"/>
    <n v="46.332000000000001"/>
    <n v="262.548"/>
    <n v="308.88"/>
  </r>
  <r>
    <s v="CID186"/>
    <x v="0"/>
    <s v="Anne"/>
    <s v="Oconnell"/>
    <n v="37"/>
    <x v="0"/>
    <x v="0"/>
    <s v="anne.oconnell@outlook.com"/>
    <s v="2850 Matthew Ford, North Yolandachester, FL 67488"/>
    <x v="227"/>
    <d v="2023-08-24T00:00:00"/>
    <s v="22:31:31"/>
    <x v="16"/>
    <n v="132.97"/>
    <n v="4"/>
    <x v="4"/>
    <x v="4"/>
    <n v="3"/>
    <s v="Before_time"/>
    <n v="43"/>
    <n v="1"/>
    <d v="2023-08-25T00:00:00"/>
    <s v="17:01:58"/>
    <m/>
    <n v="521.69200000000001"/>
    <n v="53.188000000000002"/>
    <n v="478.69200000000001"/>
    <n v="531.88"/>
  </r>
  <r>
    <s v="CID182"/>
    <x v="20"/>
    <s v="John"/>
    <s v="Herrera"/>
    <n v="64"/>
    <x v="1"/>
    <x v="1"/>
    <s v="john.herrera@outlook.com"/>
    <s v="61263 Jacob Isle, Amandatown, TN 34321"/>
    <x v="228"/>
    <d v="2024-07-15T00:00:00"/>
    <s v="18:43:17"/>
    <x v="26"/>
    <n v="372.62"/>
    <n v="4"/>
    <x v="0"/>
    <x v="0"/>
    <n v="1"/>
    <s v="Late_Delivery"/>
    <n v="45"/>
    <n v="4"/>
    <d v="2024-07-19T00:00:00"/>
    <s v="07:02:28"/>
    <m/>
    <n v="1416.2416000000001"/>
    <n v="119.2384"/>
    <n v="1371.2416000000001"/>
    <n v="1490.48"/>
  </r>
  <r>
    <s v="CID199"/>
    <x v="44"/>
    <s v="Lori"/>
    <s v="Cook"/>
    <n v="18"/>
    <x v="1"/>
    <x v="1"/>
    <s v="lori.cook@rediffmail.com"/>
    <s v="86837 Bell Meadows, North Jasonshire, UT 51354"/>
    <x v="229"/>
    <d v="2023-12-13T00:00:00"/>
    <s v="09:55:21"/>
    <x v="17"/>
    <n v="126.19"/>
    <n v="5"/>
    <x v="4"/>
    <x v="4"/>
    <n v="4"/>
    <s v="Late_Delivery"/>
    <n v="47"/>
    <n v="7"/>
    <d v="2023-12-20T00:00:00"/>
    <s v="22:38:31"/>
    <m/>
    <n v="614.85500000000002"/>
    <n v="63.094999999999999"/>
    <n v="567.85500000000002"/>
    <n v="630.95000000000005"/>
  </r>
  <r>
    <s v="CID104"/>
    <x v="79"/>
    <s v="Gary"/>
    <s v="Huff"/>
    <n v="18"/>
    <x v="0"/>
    <x v="2"/>
    <s v="gary.huff@gmail.com"/>
    <s v="58608 Alexander Terrace, South Bryan, SC 85541"/>
    <x v="230"/>
    <d v="2023-07-10T00:00:00"/>
    <s v="06:47:14"/>
    <x v="39"/>
    <n v="403.03"/>
    <n v="2"/>
    <x v="1"/>
    <x v="1"/>
    <n v="7"/>
    <s v="Before_time"/>
    <n v="45"/>
    <n v="1"/>
    <d v="2023-07-11T00:00:00"/>
    <s v="05:46:18"/>
    <m/>
    <n v="730.15099999999995"/>
    <n v="120.90899999999999"/>
    <n v="685.15099999999995"/>
    <n v="806.06"/>
  </r>
  <r>
    <s v="CID104"/>
    <x v="79"/>
    <s v="Gary"/>
    <s v="Huff"/>
    <n v="18"/>
    <x v="0"/>
    <x v="2"/>
    <s v="gary.huff@gmail.com"/>
    <s v="58608 Alexander Terrace, South Bryan, SC 85541"/>
    <x v="231"/>
    <d v="2024-04-10T00:00:00"/>
    <s v="22:41:22"/>
    <x v="21"/>
    <n v="157.63999999999999"/>
    <n v="2"/>
    <x v="1"/>
    <x v="1"/>
    <n v="5"/>
    <s v="Before_time"/>
    <n v="64"/>
    <n v="3"/>
    <d v="2024-04-13T00:00:00"/>
    <s v="03:01:00"/>
    <m/>
    <n v="331.98799999999994"/>
    <n v="47.292000000000002"/>
    <n v="267.98799999999994"/>
    <n v="315.27999999999997"/>
  </r>
  <r>
    <s v="CID138"/>
    <x v="80"/>
    <s v="Mike"/>
    <s v="Carter"/>
    <n v="59"/>
    <x v="2"/>
    <x v="6"/>
    <s v="mike.carter@rediffmail.com"/>
    <s v="3971 Ortiz Fields, Lake Jackfort, IA 97132"/>
    <x v="232"/>
    <d v="2023-11-21T00:00:00"/>
    <s v="08:35:05"/>
    <x v="19"/>
    <n v="128.13999999999999"/>
    <n v="1"/>
    <x v="4"/>
    <x v="4"/>
    <n v="7"/>
    <s v="Before_time"/>
    <n v="52"/>
    <n v="3"/>
    <d v="2023-11-24T00:00:00"/>
    <s v="09:50:44"/>
    <m/>
    <n v="167.32599999999999"/>
    <n v="12.813999999999998"/>
    <n v="115.32599999999999"/>
    <n v="128.13999999999999"/>
  </r>
  <r>
    <s v="CID191"/>
    <x v="24"/>
    <s v="Lauren"/>
    <s v="Long"/>
    <n v="44"/>
    <x v="0"/>
    <x v="7"/>
    <s v="lauren.long@gmail.com"/>
    <s v="258 Michael Brooks Suite 363, Arnoldview, PA 49438"/>
    <x v="233"/>
    <d v="2024-02-26T00:00:00"/>
    <s v="06:30:57"/>
    <x v="8"/>
    <n v="257.06"/>
    <n v="3"/>
    <x v="2"/>
    <x v="2"/>
    <n v="5"/>
    <s v="Late_Delivery"/>
    <n v="63"/>
    <n v="6"/>
    <d v="2024-03-03T00:00:00"/>
    <s v="08:01:14"/>
    <m/>
    <n v="834.18000000000006"/>
    <n v="0"/>
    <n v="771.18000000000006"/>
    <n v="771.18000000000006"/>
  </r>
  <r>
    <s v="CID174"/>
    <x v="53"/>
    <s v="Jodi"/>
    <s v="Whitney"/>
    <n v="33"/>
    <x v="2"/>
    <x v="6"/>
    <s v="jodi.whitney@yahoo.com"/>
    <s v="72876 Lara Key Suite 383, Gutierrezton, OR 71683"/>
    <x v="234"/>
    <d v="2023-11-27T00:00:00"/>
    <s v="09:01:24"/>
    <x v="12"/>
    <n v="272.51"/>
    <n v="2"/>
    <x v="4"/>
    <x v="4"/>
    <n v="4"/>
    <s v="Late_Delivery"/>
    <n v="48"/>
    <n v="7"/>
    <d v="2023-12-04T00:00:00"/>
    <s v="18:41:50"/>
    <m/>
    <n v="538.51800000000003"/>
    <n v="54.501999999999995"/>
    <n v="490.51799999999997"/>
    <n v="545.02"/>
  </r>
  <r>
    <s v="CID191"/>
    <x v="24"/>
    <s v="Lauren"/>
    <s v="Long"/>
    <n v="44"/>
    <x v="0"/>
    <x v="7"/>
    <s v="lauren.long@gmail.com"/>
    <s v="258 Michael Brooks Suite 363, Arnoldview, PA 49438"/>
    <x v="235"/>
    <d v="2024-04-08T00:00:00"/>
    <s v="10:38:44"/>
    <x v="5"/>
    <n v="363.64"/>
    <n v="3"/>
    <x v="1"/>
    <x v="1"/>
    <n v="1"/>
    <s v="Late_Delivery"/>
    <n v="47"/>
    <n v="5"/>
    <d v="2024-04-13T00:00:00"/>
    <s v="15:48:50"/>
    <m/>
    <n v="974.28200000000004"/>
    <n v="163.63800000000001"/>
    <n v="927.28200000000004"/>
    <n v="1090.92"/>
  </r>
  <r>
    <s v="CID144"/>
    <x v="55"/>
    <s v="William"/>
    <s v="Mann"/>
    <n v="21"/>
    <x v="0"/>
    <x v="1"/>
    <s v="william.mann@yahoo.com"/>
    <s v="849 Tran Wells, New Lindsayville, WI 22669"/>
    <x v="236"/>
    <d v="2024-10-13T00:00:00"/>
    <s v="08:44:39"/>
    <x v="5"/>
    <n v="363.64"/>
    <n v="3"/>
    <x v="3"/>
    <x v="3"/>
    <n v="6"/>
    <s v="Late_Delivery"/>
    <n v="64"/>
    <n v="7"/>
    <d v="2024-10-20T00:00:00"/>
    <s v="13:35:45"/>
    <m/>
    <n v="936.7360000000001"/>
    <n v="218.18400000000003"/>
    <n v="872.7360000000001"/>
    <n v="1090.92"/>
  </r>
  <r>
    <s v="CID118"/>
    <x v="58"/>
    <s v="Amy"/>
    <s v="Ellis"/>
    <n v="44"/>
    <x v="2"/>
    <x v="3"/>
    <s v="amy.ellis@gmail.com"/>
    <s v="217 Scott Ville, Christophermouth, NH 83776"/>
    <x v="237"/>
    <d v="2023-07-02T00:00:00"/>
    <s v="10:10:51"/>
    <x v="42"/>
    <n v="235.63"/>
    <n v="5"/>
    <x v="3"/>
    <x v="3"/>
    <n v="6"/>
    <s v="Before_time"/>
    <n v="63"/>
    <n v="5"/>
    <d v="2023-07-07T00:00:00"/>
    <s v="02:58:17"/>
    <m/>
    <n v="1005.5200000000001"/>
    <n v="235.63"/>
    <n v="942.5200000000001"/>
    <n v="1178.1500000000001"/>
  </r>
  <r>
    <s v="CID142"/>
    <x v="81"/>
    <s v="Thomas"/>
    <s v="Owens"/>
    <n v="34"/>
    <x v="2"/>
    <x v="7"/>
    <s v="thomas.owens@outlook.com"/>
    <s v="43920 Shaffer Valley Suite 531, South Jerry, MD 67120"/>
    <x v="238"/>
    <d v="2024-10-30T00:00:00"/>
    <s v="06:46:28"/>
    <x v="37"/>
    <n v="133.62"/>
    <n v="1"/>
    <x v="0"/>
    <x v="0"/>
    <n v="1"/>
    <s v="Late_Delivery"/>
    <n v="57"/>
    <n v="7"/>
    <d v="2024-11-06T00:00:00"/>
    <s v="11:47:41"/>
    <m/>
    <n v="179.93040000000002"/>
    <n v="10.6896"/>
    <n v="122.93040000000001"/>
    <n v="133.62"/>
  </r>
  <r>
    <s v="CID161"/>
    <x v="26"/>
    <s v="Heather"/>
    <s v="Schneider"/>
    <n v="48"/>
    <x v="1"/>
    <x v="3"/>
    <s v="heather.schneider@outlook.com"/>
    <s v="57940 Susan Creek Apt. 541, Port Aliciamouth, OR 90221"/>
    <x v="239"/>
    <d v="2024-11-20T00:00:00"/>
    <s v="22:27:32"/>
    <x v="18"/>
    <n v="282.63"/>
    <n v="4"/>
    <x v="4"/>
    <x v="4"/>
    <n v="1"/>
    <s v="Late_Delivery"/>
    <n v="60"/>
    <n v="2"/>
    <d v="2024-11-22T00:00:00"/>
    <s v="22:31:13"/>
    <m/>
    <n v="1077.4679999999998"/>
    <n v="113.05200000000001"/>
    <n v="1017.468"/>
    <n v="1130.52"/>
  </r>
  <r>
    <s v="CID120"/>
    <x v="28"/>
    <s v="Jenny"/>
    <s v="Estrada"/>
    <n v="45"/>
    <x v="0"/>
    <x v="1"/>
    <s v="jenny.estrada@yahoo.com"/>
    <s v="792 Carlos Islands, West David, CT 16522"/>
    <x v="240"/>
    <d v="2023-12-11T00:00:00"/>
    <s v="18:42:20"/>
    <x v="1"/>
    <n v="166.28"/>
    <n v="3"/>
    <x v="4"/>
    <x v="4"/>
    <n v="6"/>
    <s v="Before_time"/>
    <n v="59"/>
    <n v="4"/>
    <d v="2023-12-15T00:00:00"/>
    <s v="00:21:21"/>
    <m/>
    <n v="507.95600000000002"/>
    <n v="49.884000000000007"/>
    <n v="448.95600000000002"/>
    <n v="498.84000000000003"/>
  </r>
  <r>
    <s v="CID112"/>
    <x v="69"/>
    <s v="Lindsey"/>
    <s v="Byrd"/>
    <n v="32"/>
    <x v="0"/>
    <x v="5"/>
    <s v="lindsey.byrd@rediffmail.com"/>
    <s v="USCGC Harper, FPO AA 38349"/>
    <x v="241"/>
    <d v="2023-07-10T00:00:00"/>
    <s v="22:07:35"/>
    <x v="36"/>
    <n v="425.59"/>
    <n v="5"/>
    <x v="0"/>
    <x v="0"/>
    <n v="7"/>
    <s v="On_time"/>
    <n v="57"/>
    <n v="7"/>
    <d v="2023-07-17T00:00:00"/>
    <s v="03:39:43"/>
    <m/>
    <n v="2014.7139999999999"/>
    <n v="170.23599999999999"/>
    <n v="1957.7139999999999"/>
    <n v="2127.9499999999998"/>
  </r>
  <r>
    <s v="CID136"/>
    <x v="46"/>
    <s v="Brittany"/>
    <s v="Stewart"/>
    <n v="68"/>
    <x v="2"/>
    <x v="7"/>
    <s v="brittany.stewart@gmail.com"/>
    <s v="6250 David Loaf Suite 561, North Pamelaberg, WV 63652"/>
    <x v="242"/>
    <d v="2024-05-05T00:00:00"/>
    <s v="07:28:42"/>
    <x v="5"/>
    <n v="363.64"/>
    <n v="5"/>
    <x v="4"/>
    <x v="4"/>
    <n v="7"/>
    <s v="Before_time"/>
    <n v="60"/>
    <n v="2"/>
    <d v="2024-05-07T00:00:00"/>
    <s v="12:34:57"/>
    <m/>
    <n v="1696.3799999999999"/>
    <n v="181.82"/>
    <n v="1636.3799999999999"/>
    <n v="1818.1999999999998"/>
  </r>
  <r>
    <s v="CID113"/>
    <x v="82"/>
    <s v="Brendan"/>
    <s v="Kelly"/>
    <n v="50"/>
    <x v="2"/>
    <x v="6"/>
    <s v="brendan.kelly@rediffmail.com"/>
    <s v="688 Donald Oval Suite 089, Shepardport, CA 50844"/>
    <x v="243"/>
    <d v="2024-06-27T00:00:00"/>
    <s v="14:01:51"/>
    <x v="39"/>
    <n v="403.03"/>
    <n v="5"/>
    <x v="3"/>
    <x v="3"/>
    <n v="2"/>
    <s v="Late_Delivery"/>
    <n v="52"/>
    <n v="5"/>
    <d v="2024-07-02T00:00:00"/>
    <s v="23:41:13"/>
    <m/>
    <n v="1664.12"/>
    <n v="403.03"/>
    <n v="1612.12"/>
    <n v="2015.1499999999999"/>
  </r>
  <r>
    <s v="CID175"/>
    <x v="50"/>
    <s v="Katherine"/>
    <s v="Weber"/>
    <n v="42"/>
    <x v="2"/>
    <x v="2"/>
    <s v="katherine.weber@outlook.com"/>
    <s v="04887 Kimberly Union Apt. 645, Port Laura, IL 97219"/>
    <x v="244"/>
    <d v="2023-02-11T00:00:00"/>
    <s v="20:50:23"/>
    <x v="30"/>
    <n v="369.03"/>
    <n v="1"/>
    <x v="3"/>
    <x v="3"/>
    <n v="6"/>
    <s v="On_time"/>
    <n v="38"/>
    <n v="6"/>
    <d v="2023-02-17T00:00:00"/>
    <s v="01:51:44"/>
    <m/>
    <n v="333.22399999999999"/>
    <n v="73.805999999999997"/>
    <n v="295.22399999999999"/>
    <n v="369.03"/>
  </r>
  <r>
    <s v="CID102"/>
    <x v="83"/>
    <s v="Jessica"/>
    <s v="Ruiz"/>
    <n v="19"/>
    <x v="1"/>
    <x v="2"/>
    <s v="jessica.ruiz@rediffmail.com"/>
    <s v="02370 Laura Station Suite 309, Brandonville, DE 18875"/>
    <x v="245"/>
    <d v="2024-06-10T00:00:00"/>
    <s v="08:30:48"/>
    <x v="33"/>
    <n v="421.7"/>
    <n v="5"/>
    <x v="4"/>
    <x v="4"/>
    <n v="6"/>
    <s v="Before_time"/>
    <n v="61"/>
    <n v="4"/>
    <d v="2024-06-14T00:00:00"/>
    <s v="01:26:28"/>
    <m/>
    <n v="1958.65"/>
    <n v="210.85"/>
    <n v="1897.65"/>
    <n v="2108.5"/>
  </r>
  <r>
    <s v="CID162"/>
    <x v="78"/>
    <s v="Mark"/>
    <s v="Summers"/>
    <n v="55"/>
    <x v="1"/>
    <x v="5"/>
    <s v="mark.summers@outlook.com"/>
    <s v="08413 Lynch Parkway, Calderonstad, NV 32697"/>
    <x v="246"/>
    <d v="2024-11-12T00:00:00"/>
    <s v="05:34:02"/>
    <x v="45"/>
    <n v="381.73"/>
    <n v="4"/>
    <x v="0"/>
    <x v="0"/>
    <n v="2"/>
    <s v="Late_Delivery"/>
    <n v="58"/>
    <n v="5"/>
    <d v="2024-11-17T00:00:00"/>
    <s v="15:11:50"/>
    <m/>
    <n v="1462.7664000000002"/>
    <n v="122.15360000000001"/>
    <n v="1404.7664000000002"/>
    <n v="1526.92"/>
  </r>
  <r>
    <s v="CID107"/>
    <x v="65"/>
    <s v="Lisa"/>
    <s v="Miller"/>
    <n v="70"/>
    <x v="1"/>
    <x v="3"/>
    <s v="lisa.miller@gmail.com"/>
    <s v="89748 Campbell Drive, South Tannerland, WI 13143"/>
    <x v="247"/>
    <d v="2024-04-04T00:00:00"/>
    <s v="22:30:30"/>
    <x v="9"/>
    <n v="175.93"/>
    <n v="2"/>
    <x v="4"/>
    <x v="4"/>
    <n v="7"/>
    <s v="Before_time"/>
    <n v="61"/>
    <n v="5"/>
    <d v="2024-04-09T00:00:00"/>
    <s v="23:12:23"/>
    <m/>
    <n v="377.67400000000004"/>
    <n v="35.186000000000007"/>
    <n v="316.67400000000004"/>
    <n v="351.86"/>
  </r>
  <r>
    <s v="CID116"/>
    <x v="38"/>
    <s v="John"/>
    <s v="Ramirez"/>
    <n v="28"/>
    <x v="2"/>
    <x v="4"/>
    <s v="john.ramirez@outlook.com"/>
    <s v="02797 Martin Landing, South Michelle, VT 98781"/>
    <x v="248"/>
    <d v="2024-01-31T00:00:00"/>
    <s v="06:13:30"/>
    <x v="45"/>
    <n v="381.73"/>
    <n v="2"/>
    <x v="1"/>
    <x v="1"/>
    <n v="2"/>
    <s v="Late_Delivery"/>
    <n v="68"/>
    <n v="7"/>
    <d v="2024-02-07T00:00:00"/>
    <s v="00:33:32"/>
    <m/>
    <n v="716.94100000000003"/>
    <n v="114.51900000000002"/>
    <n v="648.94100000000003"/>
    <n v="763.46"/>
  </r>
  <r>
    <s v="CID117"/>
    <x v="84"/>
    <s v="Hannah"/>
    <s v="Gutierrez"/>
    <n v="55"/>
    <x v="1"/>
    <x v="5"/>
    <s v="hannah.gutierrez@yahoo.com"/>
    <s v="2420 David Manors, Jessicaland, CT 41698"/>
    <x v="249"/>
    <d v="2024-06-27T00:00:00"/>
    <s v="14:11:09"/>
    <x v="35"/>
    <n v="441.03"/>
    <n v="3"/>
    <x v="2"/>
    <x v="2"/>
    <n v="4"/>
    <s v="Before_time"/>
    <n v="47"/>
    <n v="3"/>
    <d v="2024-06-30T00:00:00"/>
    <s v="00:33:26"/>
    <m/>
    <n v="1370.09"/>
    <n v="0"/>
    <n v="1323.09"/>
    <n v="1323.09"/>
  </r>
  <r>
    <s v="CID154"/>
    <x v="85"/>
    <s v="Angela"/>
    <s v="Casey"/>
    <n v="40"/>
    <x v="0"/>
    <x v="2"/>
    <s v="angela.casey@gmail.com"/>
    <s v="089 Farley Terrace, Thomashaven, MT 56607"/>
    <x v="250"/>
    <d v="2024-08-27T00:00:00"/>
    <s v="22:46:20"/>
    <x v="34"/>
    <n v="136.30000000000001"/>
    <n v="2"/>
    <x v="0"/>
    <x v="0"/>
    <n v="6"/>
    <s v="Before_time"/>
    <n v="58"/>
    <n v="2"/>
    <d v="2024-08-29T00:00:00"/>
    <s v="15:31:26"/>
    <m/>
    <n v="308.79200000000003"/>
    <n v="21.808000000000003"/>
    <n v="250.79200000000003"/>
    <n v="272.60000000000002"/>
  </r>
  <r>
    <s v="CID174"/>
    <x v="53"/>
    <s v="Jodi"/>
    <s v="Whitney"/>
    <n v="33"/>
    <x v="2"/>
    <x v="6"/>
    <s v="jodi.whitney@yahoo.com"/>
    <s v="72876 Lara Key Suite 383, Gutierrezton, OR 71683"/>
    <x v="251"/>
    <d v="2024-04-01T00:00:00"/>
    <s v="03:47:08"/>
    <x v="39"/>
    <n v="403.03"/>
    <n v="3"/>
    <x v="1"/>
    <x v="1"/>
    <n v="5"/>
    <s v="Before_time"/>
    <n v="44"/>
    <n v="1"/>
    <d v="2024-04-02T00:00:00"/>
    <s v="03:23:26"/>
    <m/>
    <n v="1071.7265"/>
    <n v="181.36349999999999"/>
    <n v="1027.7265"/>
    <n v="1209.0899999999999"/>
  </r>
  <r>
    <s v="CID127"/>
    <x v="76"/>
    <s v="Natasha"/>
    <s v="Michael"/>
    <n v="49"/>
    <x v="0"/>
    <x v="1"/>
    <s v="natasha.michael@gmail.com"/>
    <s v="78992 Justin Estates Suite 226, Floresberg, NM 40797"/>
    <x v="252"/>
    <d v="2023-11-03T00:00:00"/>
    <s v="07:21:30"/>
    <x v="45"/>
    <n v="381.73"/>
    <n v="5"/>
    <x v="0"/>
    <x v="0"/>
    <n v="7"/>
    <s v="Before_time"/>
    <n v="45"/>
    <n v="3"/>
    <d v="2023-11-06T00:00:00"/>
    <s v="09:57:13"/>
    <m/>
    <n v="1800.9580000000001"/>
    <n v="152.69200000000001"/>
    <n v="1755.9580000000001"/>
    <n v="1908.65"/>
  </r>
  <r>
    <s v="CID109"/>
    <x v="75"/>
    <s v="Rachael"/>
    <s v="Robinson"/>
    <n v="24"/>
    <x v="2"/>
    <x v="7"/>
    <s v="rachael.robinson@rediffmail.com"/>
    <s v="0889 Brady Points, Port Meganhaven, NM 26553"/>
    <x v="253"/>
    <d v="2025-01-11T00:00:00"/>
    <s v="16:49:20"/>
    <x v="45"/>
    <n v="381.73"/>
    <n v="1"/>
    <x v="0"/>
    <x v="0"/>
    <n v="3"/>
    <s v="Late_Delivery"/>
    <n v="36"/>
    <n v="7"/>
    <d v="2025-01-18T00:00:00"/>
    <s v="22:40:50"/>
    <m/>
    <n v="387.19160000000005"/>
    <n v="30.538400000000003"/>
    <n v="351.19160000000005"/>
    <n v="381.73"/>
  </r>
  <r>
    <s v="CID129"/>
    <x v="43"/>
    <s v="Rebecca"/>
    <s v="Figueroa"/>
    <n v="63"/>
    <x v="0"/>
    <x v="4"/>
    <s v="rebecca.figueroa@outlook.com"/>
    <s v="3959 Bell Dale, North Jacob, LA 07934"/>
    <x v="254"/>
    <d v="2024-06-14T00:00:00"/>
    <s v="16:59:25"/>
    <x v="36"/>
    <n v="425.59"/>
    <n v="1"/>
    <x v="3"/>
    <x v="3"/>
    <n v="7"/>
    <s v="Before_time"/>
    <n v="40"/>
    <n v="3"/>
    <d v="2024-06-17T00:00:00"/>
    <s v="13:29:40"/>
    <m/>
    <n v="380.47199999999998"/>
    <n v="85.117999999999995"/>
    <n v="340.47199999999998"/>
    <n v="425.59"/>
  </r>
  <r>
    <s v="CID191"/>
    <x v="24"/>
    <s v="Lauren"/>
    <s v="Long"/>
    <n v="44"/>
    <x v="0"/>
    <x v="7"/>
    <s v="lauren.long@gmail.com"/>
    <s v="258 Michael Brooks Suite 363, Arnoldview, PA 49438"/>
    <x v="255"/>
    <d v="2025-01-02T00:00:00"/>
    <s v="06:15:44"/>
    <x v="24"/>
    <n v="481.48"/>
    <n v="4"/>
    <x v="1"/>
    <x v="1"/>
    <n v="4"/>
    <s v="Late_Delivery"/>
    <n v="67"/>
    <n v="6"/>
    <d v="2025-01-08T00:00:00"/>
    <s v="09:11:07"/>
    <m/>
    <n v="1704.0319999999999"/>
    <n v="288.88800000000003"/>
    <n v="1637.0319999999999"/>
    <n v="1925.92"/>
  </r>
  <r>
    <s v="CID176"/>
    <x v="12"/>
    <s v="Joshua"/>
    <s v="Campbell"/>
    <n v="24"/>
    <x v="0"/>
    <x v="5"/>
    <s v="joshua.campbell@gmail.com"/>
    <s v="70426 Lindsey Overpass Apt. 030, Jessicafurt, AR 46269"/>
    <x v="256"/>
    <d v="2024-08-08T00:00:00"/>
    <s v="17:29:54"/>
    <x v="33"/>
    <n v="421.7"/>
    <n v="2"/>
    <x v="4"/>
    <x v="4"/>
    <n v="2"/>
    <s v="On_time"/>
    <n v="54"/>
    <n v="2"/>
    <d v="2024-08-10T00:00:00"/>
    <s v="07:27:00"/>
    <m/>
    <n v="813.06"/>
    <n v="84.34"/>
    <n v="759.06"/>
    <n v="843.4"/>
  </r>
  <r>
    <s v="CID190"/>
    <x v="27"/>
    <s v="Valerie"/>
    <s v="Carr"/>
    <n v="26"/>
    <x v="2"/>
    <x v="6"/>
    <s v="valerie.carr@rediffmail.com"/>
    <s v="981 Emily Stream, South Brianna, CO 98063"/>
    <x v="257"/>
    <d v="2024-04-11T00:00:00"/>
    <s v="05:25:01"/>
    <x v="44"/>
    <n v="110.95"/>
    <n v="3"/>
    <x v="2"/>
    <x v="2"/>
    <n v="5"/>
    <s v="Late_Delivery"/>
    <n v="47"/>
    <n v="6"/>
    <d v="2024-04-17T00:00:00"/>
    <s v="02:19:52"/>
    <m/>
    <n v="379.85"/>
    <n v="0"/>
    <n v="332.85"/>
    <n v="332.85"/>
  </r>
  <r>
    <s v="CID195"/>
    <x v="49"/>
    <s v="Sarah"/>
    <s v="Butler"/>
    <n v="64"/>
    <x v="0"/>
    <x v="0"/>
    <s v="sarah.butler@rediffmail.com"/>
    <s v="14131 Edwin Shore Apt. 190, Deniseberg, MD 90905"/>
    <x v="258"/>
    <d v="2023-09-19T00:00:00"/>
    <s v="00:49:15"/>
    <x v="18"/>
    <n v="282.63"/>
    <n v="4"/>
    <x v="4"/>
    <x v="4"/>
    <n v="3"/>
    <s v="On_time"/>
    <n v="52"/>
    <n v="3"/>
    <d v="2023-09-22T00:00:00"/>
    <s v="07:05:22"/>
    <m/>
    <n v="1069.4679999999998"/>
    <n v="113.05200000000001"/>
    <n v="1017.468"/>
    <n v="1130.52"/>
  </r>
  <r>
    <s v="CID173"/>
    <x v="73"/>
    <s v="Susan"/>
    <s v="Thompson"/>
    <n v="37"/>
    <x v="2"/>
    <x v="7"/>
    <s v="susan.thompson@outlook.com"/>
    <s v="47821 William Station, East Ashleymouth, FL 20562"/>
    <x v="259"/>
    <d v="2024-02-13T00:00:00"/>
    <s v="10:13:34"/>
    <x v="22"/>
    <n v="158.53"/>
    <n v="3"/>
    <x v="4"/>
    <x v="4"/>
    <n v="3"/>
    <s v="Before_time"/>
    <n v="63"/>
    <n v="1"/>
    <d v="2024-02-14T00:00:00"/>
    <s v="00:06:39"/>
    <m/>
    <n v="491.03100000000006"/>
    <n v="47.559000000000005"/>
    <n v="428.03100000000006"/>
    <n v="475.59000000000003"/>
  </r>
  <r>
    <s v="CID162"/>
    <x v="78"/>
    <s v="Mark"/>
    <s v="Summers"/>
    <n v="55"/>
    <x v="1"/>
    <x v="5"/>
    <s v="mark.summers@outlook.com"/>
    <s v="08413 Lynch Parkway, Calderonstad, NV 32697"/>
    <x v="260"/>
    <d v="2023-04-10T00:00:00"/>
    <s v="22:48:36"/>
    <x v="20"/>
    <n v="62.42"/>
    <n v="3"/>
    <x v="0"/>
    <x v="0"/>
    <n v="3"/>
    <s v="Late_Delivery"/>
    <n v="37"/>
    <n v="5"/>
    <d v="2023-04-15T00:00:00"/>
    <s v="11:30:05"/>
    <m/>
    <n v="209.2792"/>
    <n v="14.980799999999999"/>
    <n v="172.2792"/>
    <n v="187.26"/>
  </r>
  <r>
    <s v="CID190"/>
    <x v="27"/>
    <s v="Valerie"/>
    <s v="Carr"/>
    <n v="26"/>
    <x v="2"/>
    <x v="6"/>
    <s v="valerie.carr@rediffmail.com"/>
    <s v="981 Emily Stream, South Brianna, CO 98063"/>
    <x v="261"/>
    <d v="2024-06-11T00:00:00"/>
    <s v="03:37:20"/>
    <x v="42"/>
    <n v="235.63"/>
    <n v="2"/>
    <x v="1"/>
    <x v="1"/>
    <n v="4"/>
    <s v="On_time"/>
    <n v="44"/>
    <n v="4"/>
    <d v="2024-06-15T00:00:00"/>
    <s v="08:01:11"/>
    <m/>
    <n v="444.57099999999997"/>
    <n v="70.688999999999993"/>
    <n v="400.57099999999997"/>
    <n v="471.26"/>
  </r>
  <r>
    <s v="CID191"/>
    <x v="24"/>
    <s v="Lauren"/>
    <s v="Long"/>
    <n v="44"/>
    <x v="0"/>
    <x v="7"/>
    <s v="lauren.long@gmail.com"/>
    <s v="258 Michael Brooks Suite 363, Arnoldview, PA 49438"/>
    <x v="262"/>
    <d v="2024-09-12T00:00:00"/>
    <s v="23:47:53"/>
    <x v="21"/>
    <n v="157.63999999999999"/>
    <n v="2"/>
    <x v="0"/>
    <x v="0"/>
    <n v="1"/>
    <s v="Late_Delivery"/>
    <n v="56"/>
    <n v="5"/>
    <d v="2024-09-17T00:00:00"/>
    <s v="00:49:45"/>
    <m/>
    <n v="346.05759999999998"/>
    <n v="25.222399999999997"/>
    <n v="290.05759999999998"/>
    <n v="315.27999999999997"/>
  </r>
  <r>
    <s v="CID193"/>
    <x v="22"/>
    <s v="Ashley"/>
    <s v="Rose"/>
    <n v="60"/>
    <x v="2"/>
    <x v="0"/>
    <s v="ashley.rose@gmail.com"/>
    <s v="424 Nichols Curve Suite 177, Lake Brianview, TX 17289"/>
    <x v="263"/>
    <d v="2023-03-11T00:00:00"/>
    <s v="15:54:45"/>
    <x v="26"/>
    <n v="372.62"/>
    <n v="4"/>
    <x v="1"/>
    <x v="1"/>
    <n v="2"/>
    <s v="Late_Delivery"/>
    <n v="42"/>
    <n v="5"/>
    <d v="2023-03-16T00:00:00"/>
    <s v="19:22:50"/>
    <m/>
    <n v="1308.9079999999999"/>
    <n v="223.572"/>
    <n v="1266.9079999999999"/>
    <n v="1490.48"/>
  </r>
  <r>
    <s v="CID113"/>
    <x v="82"/>
    <s v="Brendan"/>
    <s v="Kelly"/>
    <n v="50"/>
    <x v="2"/>
    <x v="6"/>
    <s v="brendan.kelly@rediffmail.com"/>
    <s v="688 Donald Oval Suite 089, Shepardport, CA 50844"/>
    <x v="264"/>
    <d v="2025-01-15T00:00:00"/>
    <s v="21:10:06"/>
    <x v="39"/>
    <n v="403.03"/>
    <n v="2"/>
    <x v="3"/>
    <x v="3"/>
    <n v="3"/>
    <s v="Late_Delivery"/>
    <n v="61"/>
    <n v="5"/>
    <d v="2025-01-20T00:00:00"/>
    <s v="08:42:57"/>
    <m/>
    <n v="705.84799999999996"/>
    <n v="161.21199999999999"/>
    <n v="644.84799999999996"/>
    <n v="806.06"/>
  </r>
  <r>
    <s v="CID179"/>
    <x v="18"/>
    <s v="Christian"/>
    <s v="Clayton"/>
    <n v="39"/>
    <x v="1"/>
    <x v="5"/>
    <s v="christian.clayton@yahoo.com"/>
    <s v="065 Madison Way, Smithstad, CT 68011"/>
    <x v="265"/>
    <d v="2024-03-15T00:00:00"/>
    <s v="17:39:16"/>
    <x v="14"/>
    <n v="20.7"/>
    <n v="3"/>
    <x v="2"/>
    <x v="2"/>
    <n v="1"/>
    <s v="Late_Delivery"/>
    <n v="67"/>
    <n v="6"/>
    <d v="2024-03-21T00:00:00"/>
    <s v="05:28:25"/>
    <m/>
    <n v="129.1"/>
    <n v="0"/>
    <n v="62.099999999999994"/>
    <n v="62.099999999999994"/>
  </r>
  <r>
    <s v="CID147"/>
    <x v="15"/>
    <s v="Mallory"/>
    <s v="Mitchell"/>
    <n v="42"/>
    <x v="1"/>
    <x v="6"/>
    <s v="mallory.mitchell@yahoo.com"/>
    <s v="710 Anthony Wall Suite 137, East Davidstad, NV 61494"/>
    <x v="266"/>
    <d v="2024-09-06T00:00:00"/>
    <s v="21:59:14"/>
    <x v="34"/>
    <n v="136.30000000000001"/>
    <n v="2"/>
    <x v="3"/>
    <x v="3"/>
    <n v="2"/>
    <s v="Late_Delivery"/>
    <n v="45"/>
    <n v="5"/>
    <d v="2024-09-11T00:00:00"/>
    <s v="00:34:58"/>
    <m/>
    <n v="263.08000000000004"/>
    <n v="54.52"/>
    <n v="218.08000000000004"/>
    <n v="272.60000000000002"/>
  </r>
  <r>
    <s v="CID156"/>
    <x v="63"/>
    <s v="Gregory"/>
    <s v="Lee"/>
    <n v="26"/>
    <x v="2"/>
    <x v="2"/>
    <s v="gregory.lee@rediffmail.com"/>
    <s v="619 Parker Turnpike Apt. 025, West Brucehaven, ID 48437"/>
    <x v="267"/>
    <d v="2024-04-07T00:00:00"/>
    <s v="21:47:08"/>
    <x v="44"/>
    <n v="110.95"/>
    <n v="2"/>
    <x v="3"/>
    <x v="3"/>
    <n v="3"/>
    <s v="Late_Delivery"/>
    <n v="36"/>
    <n v="5"/>
    <d v="2024-04-12T00:00:00"/>
    <s v="12:42:34"/>
    <m/>
    <n v="213.52"/>
    <n v="44.38"/>
    <n v="177.52"/>
    <n v="221.9"/>
  </r>
  <r>
    <s v="CID182"/>
    <x v="20"/>
    <s v="John"/>
    <s v="Herrera"/>
    <n v="64"/>
    <x v="1"/>
    <x v="1"/>
    <s v="john.herrera@outlook.com"/>
    <s v="61263 Jacob Isle, Amandatown, TN 34321"/>
    <x v="268"/>
    <d v="2024-02-29T00:00:00"/>
    <s v="00:57:26"/>
    <x v="26"/>
    <n v="372.62"/>
    <n v="3"/>
    <x v="2"/>
    <x v="2"/>
    <n v="5"/>
    <s v="Before_time"/>
    <n v="54"/>
    <n v="1"/>
    <d v="2024-03-01T00:00:00"/>
    <s v="23:16:52"/>
    <m/>
    <n v="1171.8600000000001"/>
    <n v="0"/>
    <n v="1117.8600000000001"/>
    <n v="1117.8600000000001"/>
  </r>
  <r>
    <s v="CID141"/>
    <x v="86"/>
    <s v="Megan"/>
    <s v="Hunt"/>
    <n v="63"/>
    <x v="0"/>
    <x v="6"/>
    <s v="megan.hunt@rediffmail.com"/>
    <s v="03765 Velazquez Knoll Suite 478, Richardshire, UT 17200"/>
    <x v="269"/>
    <d v="2023-06-06T00:00:00"/>
    <s v="21:16:04"/>
    <x v="21"/>
    <n v="157.63999999999999"/>
    <n v="2"/>
    <x v="0"/>
    <x v="0"/>
    <n v="4"/>
    <s v="Late_Delivery"/>
    <n v="61"/>
    <n v="7"/>
    <d v="2023-06-13T00:00:00"/>
    <s v="10:41:25"/>
    <m/>
    <n v="351.05759999999998"/>
    <n v="25.222399999999997"/>
    <n v="290.05759999999998"/>
    <n v="315.27999999999997"/>
  </r>
  <r>
    <s v="CID102"/>
    <x v="83"/>
    <s v="Jessica"/>
    <s v="Ruiz"/>
    <n v="19"/>
    <x v="1"/>
    <x v="2"/>
    <s v="jessica.ruiz@rediffmail.com"/>
    <s v="02370 Laura Station Suite 309, Brandonville, DE 18875"/>
    <x v="270"/>
    <d v="2023-03-12T00:00:00"/>
    <s v="20:03:28"/>
    <x v="10"/>
    <n v="190.1"/>
    <n v="3"/>
    <x v="0"/>
    <x v="0"/>
    <n v="4"/>
    <s v="Late_Delivery"/>
    <n v="63"/>
    <n v="5"/>
    <d v="2023-03-17T00:00:00"/>
    <s v="11:16:12"/>
    <m/>
    <n v="587.67599999999993"/>
    <n v="45.623999999999995"/>
    <n v="524.67599999999993"/>
    <n v="570.29999999999995"/>
  </r>
  <r>
    <s v="CID122"/>
    <x v="87"/>
    <s v="Jared"/>
    <s v="Horn"/>
    <n v="43"/>
    <x v="0"/>
    <x v="4"/>
    <s v="jared.horn@outlook.com"/>
    <s v="43325 Barbara Tunnel, Port James, LA 16246"/>
    <x v="271"/>
    <d v="2024-05-16T00:00:00"/>
    <s v="15:38:50"/>
    <x v="48"/>
    <n v="107.47"/>
    <n v="1"/>
    <x v="0"/>
    <x v="0"/>
    <n v="4"/>
    <s v="Before_time"/>
    <n v="36"/>
    <n v="2"/>
    <d v="2024-05-18T00:00:00"/>
    <s v="12:50:53"/>
    <m/>
    <n v="134.8724"/>
    <n v="8.5975999999999999"/>
    <n v="98.872399999999999"/>
    <n v="107.47"/>
  </r>
  <r>
    <s v="CID184"/>
    <x v="35"/>
    <s v="Aaron"/>
    <s v="Thompson"/>
    <n v="47"/>
    <x v="1"/>
    <x v="3"/>
    <s v="aaron.thompson@gmail.com"/>
    <s v="PSC 0550, Box 2737, APO AE 75772"/>
    <x v="272"/>
    <d v="2023-03-27T00:00:00"/>
    <s v="03:13:28"/>
    <x v="9"/>
    <n v="175.93"/>
    <n v="3"/>
    <x v="2"/>
    <x v="2"/>
    <n v="3"/>
    <s v="Late_Delivery"/>
    <n v="58"/>
    <n v="5"/>
    <d v="2023-04-01T00:00:00"/>
    <s v="07:58:28"/>
    <m/>
    <n v="585.79"/>
    <n v="0"/>
    <n v="527.79"/>
    <n v="527.79"/>
  </r>
  <r>
    <s v="CID113"/>
    <x v="82"/>
    <s v="Brendan"/>
    <s v="Kelly"/>
    <n v="50"/>
    <x v="2"/>
    <x v="6"/>
    <s v="brendan.kelly@rediffmail.com"/>
    <s v="688 Donald Oval Suite 089, Shepardport, CA 50844"/>
    <x v="273"/>
    <d v="2024-07-08T00:00:00"/>
    <s v="12:54:20"/>
    <x v="43"/>
    <n v="424.82"/>
    <n v="3"/>
    <x v="2"/>
    <x v="2"/>
    <n v="3"/>
    <s v="Before_time"/>
    <n v="42"/>
    <n v="1"/>
    <d v="2024-07-09T00:00:00"/>
    <s v="17:32:38"/>
    <m/>
    <n v="1316.46"/>
    <n v="0"/>
    <n v="1274.46"/>
    <n v="1274.46"/>
  </r>
  <r>
    <s v="CID131"/>
    <x v="88"/>
    <s v="Veronica"/>
    <s v="Lopez"/>
    <n v="18"/>
    <x v="1"/>
    <x v="7"/>
    <s v="veronica.lopez@gmail.com"/>
    <s v="660 Karen Station Apt. 887, Allenside, ID 03170"/>
    <x v="274"/>
    <d v="2024-02-10T00:00:00"/>
    <s v="15:59:36"/>
    <x v="24"/>
    <n v="481.48"/>
    <n v="4"/>
    <x v="2"/>
    <x v="2"/>
    <n v="2"/>
    <s v="Late_Delivery"/>
    <n v="61"/>
    <n v="6"/>
    <d v="2024-02-16T00:00:00"/>
    <s v="07:38:19"/>
    <m/>
    <n v="1986.92"/>
    <n v="0"/>
    <n v="1925.92"/>
    <n v="1925.92"/>
  </r>
  <r>
    <s v="CID113"/>
    <x v="82"/>
    <s v="Brendan"/>
    <s v="Kelly"/>
    <n v="50"/>
    <x v="2"/>
    <x v="6"/>
    <s v="brendan.kelly@rediffmail.com"/>
    <s v="688 Donald Oval Suite 089, Shepardport, CA 50844"/>
    <x v="275"/>
    <d v="2024-11-03T00:00:00"/>
    <s v="19:52:34"/>
    <x v="13"/>
    <n v="104.18"/>
    <n v="1"/>
    <x v="0"/>
    <x v="0"/>
    <n v="1"/>
    <s v="Late_Delivery"/>
    <n v="48"/>
    <n v="4"/>
    <d v="2024-11-07T00:00:00"/>
    <s v="07:40:09"/>
    <m/>
    <n v="143.84559999999999"/>
    <n v="8.3344000000000005"/>
    <n v="95.845600000000005"/>
    <n v="104.18"/>
  </r>
  <r>
    <s v="CID157"/>
    <x v="89"/>
    <s v="Sarah"/>
    <s v="Benson"/>
    <n v="40"/>
    <x v="2"/>
    <x v="7"/>
    <s v="sarah.benson@outlook.com"/>
    <s v="5399 Hayes Well, West Pennystad, IL 93798"/>
    <x v="276"/>
    <d v="2024-05-10T00:00:00"/>
    <s v="20:27:13"/>
    <x v="36"/>
    <n v="425.59"/>
    <n v="2"/>
    <x v="0"/>
    <x v="0"/>
    <n v="3"/>
    <s v="Before_time"/>
    <n v="47"/>
    <n v="1"/>
    <d v="2024-05-11T00:00:00"/>
    <s v="22:27:12"/>
    <m/>
    <n v="830.0856"/>
    <n v="68.094399999999993"/>
    <n v="783.0856"/>
    <n v="851.18"/>
  </r>
  <r>
    <s v="CID102"/>
    <x v="83"/>
    <s v="Jessica"/>
    <s v="Ruiz"/>
    <n v="19"/>
    <x v="1"/>
    <x v="2"/>
    <s v="jessica.ruiz@rediffmail.com"/>
    <s v="02370 Laura Station Suite 309, Brandonville, DE 18875"/>
    <x v="277"/>
    <d v="2023-04-01T00:00:00"/>
    <s v="04:24:31"/>
    <x v="15"/>
    <n v="461.07"/>
    <n v="4"/>
    <x v="2"/>
    <x v="2"/>
    <n v="6"/>
    <s v="Before_time"/>
    <n v="46"/>
    <n v="5"/>
    <d v="2023-04-06T00:00:00"/>
    <s v="06:44:34"/>
    <m/>
    <n v="1890.28"/>
    <n v="0"/>
    <n v="1844.28"/>
    <n v="1844.28"/>
  </r>
  <r>
    <s v="CID178"/>
    <x v="11"/>
    <s v="Amy"/>
    <s v="Reid"/>
    <n v="44"/>
    <x v="1"/>
    <x v="3"/>
    <s v="amy.reid@rediffmail.com"/>
    <s v="6262 Simpson Village, North Danielle, RI 76074"/>
    <x v="278"/>
    <d v="2024-05-10T00:00:00"/>
    <s v="05:26:44"/>
    <x v="20"/>
    <n v="62.42"/>
    <n v="4"/>
    <x v="1"/>
    <x v="1"/>
    <n v="1"/>
    <s v="Late_Delivery"/>
    <n v="67"/>
    <n v="4"/>
    <d v="2024-05-14T00:00:00"/>
    <s v="06:17:48"/>
    <m/>
    <n v="279.22800000000001"/>
    <n v="37.452000000000005"/>
    <n v="212.22800000000001"/>
    <n v="249.68"/>
  </r>
  <r>
    <s v="CID150"/>
    <x v="1"/>
    <s v="Anthony"/>
    <s v="Thomas"/>
    <n v="53"/>
    <x v="1"/>
    <x v="1"/>
    <s v="anthony.thomas@rediffmail.com"/>
    <s v="931 Christopher Ways Suite 833, North Michelle, IN 53484"/>
    <x v="279"/>
    <d v="2023-09-17T00:00:00"/>
    <s v="13:33:00"/>
    <x v="8"/>
    <n v="257.06"/>
    <n v="1"/>
    <x v="3"/>
    <x v="3"/>
    <n v="5"/>
    <s v="Before_time"/>
    <n v="64"/>
    <n v="2"/>
    <d v="2023-09-19T00:00:00"/>
    <s v="16:40:47"/>
    <m/>
    <n v="269.64800000000002"/>
    <n v="51.411999999999999"/>
    <n v="205.64800000000002"/>
    <n v="257.06"/>
  </r>
  <r>
    <s v="CID174"/>
    <x v="53"/>
    <s v="Jodi"/>
    <s v="Whitney"/>
    <n v="33"/>
    <x v="2"/>
    <x v="6"/>
    <s v="jodi.whitney@yahoo.com"/>
    <s v="72876 Lara Key Suite 383, Gutierrezton, OR 71683"/>
    <x v="280"/>
    <d v="2025-01-20T00:00:00"/>
    <s v="22:42:24"/>
    <x v="12"/>
    <n v="272.51"/>
    <n v="4"/>
    <x v="3"/>
    <x v="3"/>
    <n v="6"/>
    <s v="Before_time"/>
    <n v="39"/>
    <n v="2"/>
    <d v="2025-01-22T00:00:00"/>
    <s v="19:19:52"/>
    <m/>
    <n v="911.03200000000004"/>
    <n v="218.00799999999998"/>
    <n v="872.03200000000004"/>
    <n v="1090.04"/>
  </r>
  <r>
    <s v="CID158"/>
    <x v="21"/>
    <s v="Angela"/>
    <s v="Evans"/>
    <n v="52"/>
    <x v="2"/>
    <x v="1"/>
    <s v="angela.evans@outlook.com"/>
    <s v="16031 David Mountain Suite 431, Susanborough, PA 01910"/>
    <x v="281"/>
    <d v="2023-11-12T00:00:00"/>
    <s v="07:28:15"/>
    <x v="39"/>
    <n v="403.03"/>
    <n v="2"/>
    <x v="0"/>
    <x v="0"/>
    <n v="4"/>
    <s v="On_time"/>
    <n v="70"/>
    <n v="4"/>
    <d v="2023-11-16T00:00:00"/>
    <s v="12:59:43"/>
    <m/>
    <n v="811.5752"/>
    <n v="64.484799999999993"/>
    <n v="741.5752"/>
    <n v="806.06"/>
  </r>
  <r>
    <s v="CID102"/>
    <x v="83"/>
    <s v="Jessica"/>
    <s v="Ruiz"/>
    <n v="19"/>
    <x v="1"/>
    <x v="2"/>
    <s v="jessica.ruiz@rediffmail.com"/>
    <s v="02370 Laura Station Suite 309, Brandonville, DE 18875"/>
    <x v="282"/>
    <d v="2023-10-02T00:00:00"/>
    <s v="05:37:56"/>
    <x v="15"/>
    <n v="461.07"/>
    <n v="3"/>
    <x v="4"/>
    <x v="4"/>
    <n v="1"/>
    <s v="On_time"/>
    <n v="61"/>
    <n v="1"/>
    <d v="2023-10-03T00:00:00"/>
    <s v="15:40:22"/>
    <m/>
    <n v="1305.8890000000001"/>
    <n v="138.321"/>
    <n v="1244.8890000000001"/>
    <n v="1383.21"/>
  </r>
  <r>
    <s v="CID113"/>
    <x v="82"/>
    <s v="Brendan"/>
    <s v="Kelly"/>
    <n v="50"/>
    <x v="2"/>
    <x v="6"/>
    <s v="brendan.kelly@rediffmail.com"/>
    <s v="688 Donald Oval Suite 089, Shepardport, CA 50844"/>
    <x v="283"/>
    <d v="2024-08-18T00:00:00"/>
    <s v="20:10:43"/>
    <x v="35"/>
    <n v="441.03"/>
    <n v="3"/>
    <x v="3"/>
    <x v="3"/>
    <n v="4"/>
    <s v="Late_Delivery"/>
    <n v="40"/>
    <n v="6"/>
    <d v="2024-08-24T00:00:00"/>
    <s v="08:44:22"/>
    <m/>
    <n v="1098.472"/>
    <n v="264.61799999999999"/>
    <n v="1058.472"/>
    <n v="1323.09"/>
  </r>
  <r>
    <s v="CID172"/>
    <x v="10"/>
    <s v="Kara"/>
    <s v="Brennan"/>
    <n v="25"/>
    <x v="2"/>
    <x v="4"/>
    <s v="kara.brennan@outlook.com"/>
    <s v="2174 Thomas Avenue, Maciasborough, NJ 41465"/>
    <x v="284"/>
    <d v="2023-06-13T00:00:00"/>
    <s v="12:34:36"/>
    <x v="9"/>
    <n v="175.93"/>
    <n v="4"/>
    <x v="3"/>
    <x v="3"/>
    <n v="6"/>
    <s v="Late_Delivery"/>
    <n v="45"/>
    <n v="7"/>
    <d v="2023-06-20T00:00:00"/>
    <s v="10:14:17"/>
    <m/>
    <n v="607.976"/>
    <n v="140.74400000000003"/>
    <n v="562.976"/>
    <n v="703.72"/>
  </r>
  <r>
    <s v="CID102"/>
    <x v="83"/>
    <s v="Jessica"/>
    <s v="Ruiz"/>
    <n v="19"/>
    <x v="1"/>
    <x v="2"/>
    <s v="jessica.ruiz@rediffmail.com"/>
    <s v="02370 Laura Station Suite 309, Brandonville, DE 18875"/>
    <x v="285"/>
    <d v="2023-05-03T00:00:00"/>
    <s v="05:06:18"/>
    <x v="30"/>
    <n v="369.03"/>
    <n v="3"/>
    <x v="0"/>
    <x v="0"/>
    <n v="6"/>
    <s v="Before_time"/>
    <n v="50"/>
    <n v="3"/>
    <d v="2023-05-06T00:00:00"/>
    <s v="20:00:01"/>
    <m/>
    <n v="1068.5228"/>
    <n v="88.5672"/>
    <n v="1018.5228"/>
    <n v="1107.0899999999999"/>
  </r>
  <r>
    <s v="CID170"/>
    <x v="64"/>
    <s v="Bruce"/>
    <s v="Allen"/>
    <n v="32"/>
    <x v="1"/>
    <x v="0"/>
    <s v="bruce.allen@rediffmail.com"/>
    <s v="2417 Brown Ford, West Timothyside, RI 45629"/>
    <x v="286"/>
    <d v="2025-01-19T00:00:00"/>
    <s v="14:47:52"/>
    <x v="24"/>
    <n v="481.48"/>
    <n v="2"/>
    <x v="3"/>
    <x v="3"/>
    <n v="3"/>
    <s v="Late_Delivery"/>
    <n v="58"/>
    <n v="7"/>
    <d v="2025-01-26T00:00:00"/>
    <s v="17:06:11"/>
    <m/>
    <n v="828.36800000000005"/>
    <n v="192.59200000000001"/>
    <n v="770.36800000000005"/>
    <n v="962.96"/>
  </r>
  <r>
    <s v="CID127"/>
    <x v="76"/>
    <s v="Natasha"/>
    <s v="Michael"/>
    <n v="49"/>
    <x v="0"/>
    <x v="1"/>
    <s v="natasha.michael@gmail.com"/>
    <s v="78992 Justin Estates Suite 226, Floresberg, NM 40797"/>
    <x v="287"/>
    <d v="2023-06-15T00:00:00"/>
    <s v="20:27:42"/>
    <x v="36"/>
    <n v="425.59"/>
    <n v="3"/>
    <x v="0"/>
    <x v="0"/>
    <n v="6"/>
    <s v="Late_Delivery"/>
    <n v="55"/>
    <n v="7"/>
    <d v="2023-06-22T00:00:00"/>
    <s v="10:15:00"/>
    <m/>
    <n v="1229.6284000000001"/>
    <n v="102.1416"/>
    <n v="1174.6284000000001"/>
    <n v="1276.77"/>
  </r>
  <r>
    <s v="CID121"/>
    <x v="30"/>
    <s v="Julie"/>
    <s v="Meyer"/>
    <n v="23"/>
    <x v="0"/>
    <x v="0"/>
    <s v="julie.meyer@yahoo.com"/>
    <s v="17381 Smith Ramp Suite 398, Courtneyville, AL 17756"/>
    <x v="288"/>
    <d v="2025-01-02T00:00:00"/>
    <s v="13:24:08"/>
    <x v="49"/>
    <n v="33.49"/>
    <n v="2"/>
    <x v="0"/>
    <x v="0"/>
    <n v="2"/>
    <s v="Before_time"/>
    <n v="45"/>
    <n v="1"/>
    <d v="2025-01-03T00:00:00"/>
    <s v="07:39:38"/>
    <m/>
    <n v="106.6216"/>
    <n v="5.3584000000000005"/>
    <n v="61.621600000000008"/>
    <n v="66.98"/>
  </r>
  <r>
    <s v="CID153"/>
    <x v="47"/>
    <s v="Mitchell"/>
    <s v="Parker"/>
    <n v="39"/>
    <x v="2"/>
    <x v="1"/>
    <s v="mitchell.parker@yahoo.com"/>
    <s v="PSC 3316, Box 9303, APO AE 29513"/>
    <x v="289"/>
    <d v="2023-04-08T00:00:00"/>
    <s v="09:58:35"/>
    <x v="3"/>
    <n v="405"/>
    <n v="4"/>
    <x v="4"/>
    <x v="4"/>
    <n v="7"/>
    <s v="Before_time"/>
    <n v="70"/>
    <n v="5"/>
    <d v="2023-04-13T00:00:00"/>
    <s v="14:02:18"/>
    <m/>
    <n v="1528"/>
    <n v="162"/>
    <n v="1458"/>
    <n v="1620"/>
  </r>
  <r>
    <s v="CID181"/>
    <x v="37"/>
    <s v="Alexandra"/>
    <s v="Smith"/>
    <n v="70"/>
    <x v="0"/>
    <x v="0"/>
    <s v="alexandra.smith@rediffmail.com"/>
    <s v="48611 Clark Village, West Anne, GA 92865"/>
    <x v="290"/>
    <d v="2024-06-12T00:00:00"/>
    <s v="06:20:30"/>
    <x v="24"/>
    <n v="481.48"/>
    <n v="3"/>
    <x v="3"/>
    <x v="3"/>
    <n v="5"/>
    <s v="Late_Delivery"/>
    <n v="49"/>
    <n v="7"/>
    <d v="2024-06-19T00:00:00"/>
    <s v="20:45:00"/>
    <m/>
    <n v="1204.5520000000001"/>
    <n v="288.88800000000003"/>
    <n v="1155.5520000000001"/>
    <n v="1444.44"/>
  </r>
  <r>
    <s v="CID187"/>
    <x v="36"/>
    <s v="Jason"/>
    <s v="Lopez"/>
    <n v="40"/>
    <x v="2"/>
    <x v="6"/>
    <s v="jason.lopez@outlook.com"/>
    <s v="934 Levine View, Brentport, NE 38210"/>
    <x v="291"/>
    <d v="2023-05-12T00:00:00"/>
    <s v="17:53:01"/>
    <x v="37"/>
    <n v="133.62"/>
    <n v="2"/>
    <x v="4"/>
    <x v="4"/>
    <n v="4"/>
    <s v="Before_time"/>
    <n v="36"/>
    <n v="1"/>
    <d v="2023-05-13T00:00:00"/>
    <s v="05:26:03"/>
    <m/>
    <n v="276.51600000000002"/>
    <n v="26.724"/>
    <n v="240.51600000000002"/>
    <n v="267.24"/>
  </r>
  <r>
    <s v="CID162"/>
    <x v="78"/>
    <s v="Mark"/>
    <s v="Summers"/>
    <n v="55"/>
    <x v="1"/>
    <x v="5"/>
    <s v="mark.summers@outlook.com"/>
    <s v="08413 Lynch Parkway, Calderonstad, NV 32697"/>
    <x v="292"/>
    <d v="2024-05-02T00:00:00"/>
    <s v="03:43:05"/>
    <x v="20"/>
    <n v="62.42"/>
    <n v="4"/>
    <x v="4"/>
    <x v="4"/>
    <n v="6"/>
    <s v="On_time"/>
    <n v="43"/>
    <n v="6"/>
    <d v="2024-05-08T00:00:00"/>
    <s v="17:57:56"/>
    <m/>
    <n v="267.71199999999999"/>
    <n v="24.968000000000004"/>
    <n v="224.71200000000002"/>
    <n v="249.68"/>
  </r>
  <r>
    <s v="CID138"/>
    <x v="80"/>
    <s v="Mike"/>
    <s v="Carter"/>
    <n v="59"/>
    <x v="2"/>
    <x v="6"/>
    <s v="mike.carter@rediffmail.com"/>
    <s v="3971 Ortiz Fields, Lake Jackfort, IA 97132"/>
    <x v="293"/>
    <d v="2024-08-23T00:00:00"/>
    <s v="02:56:56"/>
    <x v="27"/>
    <n v="496.59"/>
    <n v="2"/>
    <x v="0"/>
    <x v="0"/>
    <n v="3"/>
    <s v="Before_time"/>
    <n v="55"/>
    <n v="1"/>
    <d v="2024-08-24T00:00:00"/>
    <s v="11:28:09"/>
    <m/>
    <n v="968.72559999999999"/>
    <n v="79.454399999999993"/>
    <n v="913.72559999999999"/>
    <n v="993.18"/>
  </r>
  <r>
    <s v="CID175"/>
    <x v="50"/>
    <s v="Katherine"/>
    <s v="Weber"/>
    <n v="42"/>
    <x v="2"/>
    <x v="2"/>
    <s v="katherine.weber@outlook.com"/>
    <s v="04887 Kimberly Union Apt. 645, Port Laura, IL 97219"/>
    <x v="294"/>
    <d v="2023-11-03T00:00:00"/>
    <s v="04:29:06"/>
    <x v="28"/>
    <n v="431.44"/>
    <n v="4"/>
    <x v="2"/>
    <x v="2"/>
    <n v="3"/>
    <s v="Late_Delivery"/>
    <n v="65"/>
    <n v="6"/>
    <d v="2023-11-09T00:00:00"/>
    <s v="22:44:53"/>
    <m/>
    <n v="1790.76"/>
    <n v="0"/>
    <n v="1725.76"/>
    <n v="1725.76"/>
  </r>
  <r>
    <s v="CID184"/>
    <x v="35"/>
    <s v="Aaron"/>
    <s v="Thompson"/>
    <n v="47"/>
    <x v="1"/>
    <x v="3"/>
    <s v="aaron.thompson@gmail.com"/>
    <s v="PSC 0550, Box 2737, APO AE 75772"/>
    <x v="295"/>
    <d v="2024-08-09T00:00:00"/>
    <s v="10:04:49"/>
    <x v="43"/>
    <n v="424.82"/>
    <n v="2"/>
    <x v="2"/>
    <x v="2"/>
    <n v="2"/>
    <s v="Late_Delivery"/>
    <n v="57"/>
    <n v="7"/>
    <d v="2024-08-16T00:00:00"/>
    <s v="22:07:13"/>
    <m/>
    <n v="906.64"/>
    <n v="0"/>
    <n v="849.64"/>
    <n v="849.64"/>
  </r>
  <r>
    <s v="CID162"/>
    <x v="78"/>
    <s v="Mark"/>
    <s v="Summers"/>
    <n v="55"/>
    <x v="1"/>
    <x v="5"/>
    <s v="mark.summers@outlook.com"/>
    <s v="08413 Lynch Parkway, Calderonstad, NV 32697"/>
    <x v="296"/>
    <d v="2024-10-02T00:00:00"/>
    <s v="23:44:50"/>
    <x v="33"/>
    <n v="421.7"/>
    <n v="3"/>
    <x v="0"/>
    <x v="0"/>
    <n v="5"/>
    <s v="Before_time"/>
    <n v="54"/>
    <n v="4"/>
    <d v="2024-10-06T00:00:00"/>
    <s v="04:23:25"/>
    <m/>
    <n v="1217.8920000000001"/>
    <n v="101.208"/>
    <n v="1163.8920000000001"/>
    <n v="1265.0999999999999"/>
  </r>
  <r>
    <s v="CID117"/>
    <x v="84"/>
    <s v="Hannah"/>
    <s v="Gutierrez"/>
    <n v="55"/>
    <x v="1"/>
    <x v="5"/>
    <s v="hannah.gutierrez@yahoo.com"/>
    <s v="2420 David Manors, Jessicaland, CT 41698"/>
    <x v="297"/>
    <d v="2023-08-19T00:00:00"/>
    <s v="17:40:16"/>
    <x v="26"/>
    <n v="372.62"/>
    <n v="1"/>
    <x v="4"/>
    <x v="4"/>
    <n v="5"/>
    <s v="Late_Delivery"/>
    <n v="45"/>
    <n v="7"/>
    <d v="2023-08-26T00:00:00"/>
    <s v="19:38:50"/>
    <m/>
    <n v="380.358"/>
    <n v="37.262"/>
    <n v="335.358"/>
    <n v="372.62"/>
  </r>
  <r>
    <s v="CID113"/>
    <x v="82"/>
    <s v="Brendan"/>
    <s v="Kelly"/>
    <n v="50"/>
    <x v="2"/>
    <x v="6"/>
    <s v="brendan.kelly@rediffmail.com"/>
    <s v="688 Donald Oval Suite 089, Shepardport, CA 50844"/>
    <x v="298"/>
    <d v="2024-09-22T00:00:00"/>
    <s v="09:51:24"/>
    <x v="13"/>
    <n v="104.18"/>
    <n v="1"/>
    <x v="0"/>
    <x v="0"/>
    <n v="3"/>
    <s v="Late_Delivery"/>
    <n v="60"/>
    <n v="6"/>
    <d v="2024-09-28T00:00:00"/>
    <s v="00:10:27"/>
    <m/>
    <n v="155.84559999999999"/>
    <n v="8.3344000000000005"/>
    <n v="95.845600000000005"/>
    <n v="104.18"/>
  </r>
  <r>
    <s v="CID171"/>
    <x v="72"/>
    <s v="Leslie"/>
    <s v="Montgomery"/>
    <n v="26"/>
    <x v="1"/>
    <x v="5"/>
    <s v="leslie.montgomery@gmail.com"/>
    <s v="135 Teresa Oval Apt. 825, East Katherineport, WY 13714"/>
    <x v="299"/>
    <d v="2023-06-27T00:00:00"/>
    <s v="05:56:42"/>
    <x v="9"/>
    <n v="175.93"/>
    <n v="2"/>
    <x v="0"/>
    <x v="0"/>
    <n v="5"/>
    <s v="Before_time"/>
    <n v="49"/>
    <n v="2"/>
    <d v="2023-06-29T00:00:00"/>
    <s v="03:42:23"/>
    <m/>
    <n v="372.71120000000002"/>
    <n v="28.148800000000001"/>
    <n v="323.71120000000002"/>
    <n v="351.86"/>
  </r>
  <r>
    <s v="CID104"/>
    <x v="79"/>
    <s v="Gary"/>
    <s v="Huff"/>
    <n v="18"/>
    <x v="0"/>
    <x v="2"/>
    <s v="gary.huff@gmail.com"/>
    <s v="58608 Alexander Terrace, South Bryan, SC 85541"/>
    <x v="300"/>
    <d v="2024-09-28T00:00:00"/>
    <s v="06:33:59"/>
    <x v="20"/>
    <n v="62.42"/>
    <n v="1"/>
    <x v="0"/>
    <x v="0"/>
    <n v="3"/>
    <s v="Before_time"/>
    <n v="46"/>
    <n v="2"/>
    <d v="2024-09-30T00:00:00"/>
    <s v="13:29:05"/>
    <m/>
    <n v="103.4264"/>
    <n v="4.9935999999999998"/>
    <n v="57.426400000000001"/>
    <n v="62.42"/>
  </r>
  <r>
    <s v="CID135"/>
    <x v="39"/>
    <s v="Amanda"/>
    <s v="Howard"/>
    <n v="52"/>
    <x v="2"/>
    <x v="7"/>
    <s v="amanda.howard@outlook.com"/>
    <s v="56908 Sydney Park Suite 632, West Anthonyport, NC 15954"/>
    <x v="301"/>
    <d v="2023-12-19T00:00:00"/>
    <s v="01:23:40"/>
    <x v="14"/>
    <n v="20.7"/>
    <n v="2"/>
    <x v="0"/>
    <x v="0"/>
    <n v="7"/>
    <s v="On_time"/>
    <n v="39"/>
    <n v="7"/>
    <d v="2023-12-26T00:00:00"/>
    <s v="19:01:55"/>
    <m/>
    <n v="77.087999999999994"/>
    <n v="3.3119999999999998"/>
    <n v="38.088000000000001"/>
    <n v="41.4"/>
  </r>
  <r>
    <s v="CID176"/>
    <x v="12"/>
    <s v="Joshua"/>
    <s v="Campbell"/>
    <n v="24"/>
    <x v="0"/>
    <x v="5"/>
    <s v="joshua.campbell@gmail.com"/>
    <s v="70426 Lindsey Overpass Apt. 030, Jessicafurt, AR 46269"/>
    <x v="302"/>
    <d v="2023-10-07T00:00:00"/>
    <s v="18:29:39"/>
    <x v="10"/>
    <n v="190.1"/>
    <n v="1"/>
    <x v="3"/>
    <x v="3"/>
    <n v="3"/>
    <s v="Before_time"/>
    <n v="63"/>
    <n v="1"/>
    <d v="2023-10-08T00:00:00"/>
    <s v="02:01:44"/>
    <m/>
    <n v="215.08"/>
    <n v="38.020000000000003"/>
    <n v="152.08000000000001"/>
    <n v="190.1"/>
  </r>
  <r>
    <s v="CID142"/>
    <x v="81"/>
    <s v="Thomas"/>
    <s v="Owens"/>
    <n v="34"/>
    <x v="2"/>
    <x v="7"/>
    <s v="thomas.owens@outlook.com"/>
    <s v="43920 Shaffer Valley Suite 531, South Jerry, MD 67120"/>
    <x v="303"/>
    <d v="2024-02-02T00:00:00"/>
    <s v="13:33:06"/>
    <x v="22"/>
    <n v="158.53"/>
    <n v="3"/>
    <x v="3"/>
    <x v="3"/>
    <n v="6"/>
    <s v="Late_Delivery"/>
    <n v="38"/>
    <n v="7"/>
    <d v="2024-02-09T00:00:00"/>
    <s v="04:01:49"/>
    <m/>
    <n v="418.47200000000004"/>
    <n v="95.118000000000009"/>
    <n v="380.47200000000004"/>
    <n v="475.59000000000003"/>
  </r>
  <r>
    <s v="CID102"/>
    <x v="83"/>
    <s v="Jessica"/>
    <s v="Ruiz"/>
    <n v="19"/>
    <x v="1"/>
    <x v="2"/>
    <s v="jessica.ruiz@rediffmail.com"/>
    <s v="02370 Laura Station Suite 309, Brandonville, DE 18875"/>
    <x v="304"/>
    <d v="2023-12-12T00:00:00"/>
    <s v="15:56:55"/>
    <x v="29"/>
    <n v="44.5"/>
    <n v="1"/>
    <x v="4"/>
    <x v="4"/>
    <n v="4"/>
    <s v="Late_Delivery"/>
    <n v="49"/>
    <n v="6"/>
    <d v="2023-12-18T00:00:00"/>
    <s v="18:16:24"/>
    <m/>
    <n v="89.050000000000011"/>
    <n v="4.45"/>
    <n v="40.050000000000004"/>
    <n v="44.5"/>
  </r>
  <r>
    <s v="CID155"/>
    <x v="29"/>
    <s v="Courtney"/>
    <s v="Parker"/>
    <n v="29"/>
    <x v="2"/>
    <x v="3"/>
    <s v="courtney.parker@yahoo.com"/>
    <s v="087 Jacqueline Rue Apt. 694, East Tasha, SC 04859"/>
    <x v="305"/>
    <d v="2024-11-20T00:00:00"/>
    <s v="14:57:23"/>
    <x v="23"/>
    <n v="129.75"/>
    <n v="2"/>
    <x v="2"/>
    <x v="2"/>
    <n v="4"/>
    <s v="On_time"/>
    <n v="53"/>
    <n v="4"/>
    <d v="2024-11-24T00:00:00"/>
    <s v="09:49:51"/>
    <m/>
    <n v="312.5"/>
    <n v="0"/>
    <n v="259.5"/>
    <n v="259.5"/>
  </r>
  <r>
    <s v="CID162"/>
    <x v="78"/>
    <s v="Mark"/>
    <s v="Summers"/>
    <n v="55"/>
    <x v="1"/>
    <x v="5"/>
    <s v="mark.summers@outlook.com"/>
    <s v="08413 Lynch Parkway, Calderonstad, NV 32697"/>
    <x v="306"/>
    <d v="2024-02-02T00:00:00"/>
    <s v="19:33:36"/>
    <x v="9"/>
    <n v="175.93"/>
    <n v="2"/>
    <x v="2"/>
    <x v="2"/>
    <n v="6"/>
    <s v="Before_time"/>
    <n v="50"/>
    <n v="1"/>
    <d v="2024-02-03T00:00:00"/>
    <s v="06:30:50"/>
    <m/>
    <n v="401.86"/>
    <n v="0"/>
    <n v="351.86"/>
    <n v="351.86"/>
  </r>
  <r>
    <s v="CID173"/>
    <x v="73"/>
    <s v="Susan"/>
    <s v="Thompson"/>
    <n v="37"/>
    <x v="2"/>
    <x v="7"/>
    <s v="susan.thompson@outlook.com"/>
    <s v="47821 William Station, East Ashleymouth, FL 20562"/>
    <x v="307"/>
    <d v="2025-01-14T00:00:00"/>
    <s v="17:53:46"/>
    <x v="33"/>
    <n v="421.7"/>
    <n v="5"/>
    <x v="1"/>
    <x v="1"/>
    <n v="2"/>
    <s v="Late_Delivery"/>
    <n v="56"/>
    <n v="3"/>
    <d v="2025-01-17T00:00:00"/>
    <s v="18:13:08"/>
    <m/>
    <n v="1848.2249999999999"/>
    <n v="316.27499999999998"/>
    <n v="1792.2249999999999"/>
    <n v="2108.5"/>
  </r>
  <r>
    <s v="CID144"/>
    <x v="55"/>
    <s v="William"/>
    <s v="Mann"/>
    <n v="21"/>
    <x v="0"/>
    <x v="1"/>
    <s v="william.mann@yahoo.com"/>
    <s v="849 Tran Wells, New Lindsayville, WI 22669"/>
    <x v="308"/>
    <d v="2023-05-18T00:00:00"/>
    <s v="13:40:58"/>
    <x v="40"/>
    <n v="445.81"/>
    <n v="1"/>
    <x v="3"/>
    <x v="3"/>
    <n v="7"/>
    <s v="On_time"/>
    <n v="41"/>
    <n v="7"/>
    <d v="2023-05-25T00:00:00"/>
    <s v="02:14:28"/>
    <m/>
    <n v="397.64800000000002"/>
    <n v="89.162000000000006"/>
    <n v="356.64800000000002"/>
    <n v="445.81"/>
  </r>
  <r>
    <s v="CID183"/>
    <x v="61"/>
    <s v="Troy"/>
    <s v="Gomez"/>
    <n v="68"/>
    <x v="0"/>
    <x v="7"/>
    <s v="troy.gomez@outlook.com"/>
    <s v="7510 Jose Knolls, Candicechester, LA 62815"/>
    <x v="309"/>
    <d v="2023-02-16T00:00:00"/>
    <s v="04:49:20"/>
    <x v="36"/>
    <n v="425.59"/>
    <n v="2"/>
    <x v="2"/>
    <x v="2"/>
    <n v="2"/>
    <s v="Late_Delivery"/>
    <n v="67"/>
    <n v="4"/>
    <d v="2023-02-20T00:00:00"/>
    <s v="16:13:35"/>
    <m/>
    <n v="918.18"/>
    <n v="0"/>
    <n v="851.18"/>
    <n v="851.18"/>
  </r>
  <r>
    <s v="CID169"/>
    <x v="32"/>
    <s v="Robert"/>
    <s v="Castillo"/>
    <n v="32"/>
    <x v="1"/>
    <x v="6"/>
    <s v="robert.castillo@gmail.com"/>
    <s v="7143 Brandon Skyway Suite 899, Tylerton, IA 21756"/>
    <x v="310"/>
    <d v="2024-08-11T00:00:00"/>
    <s v="16:34:44"/>
    <x v="36"/>
    <n v="425.59"/>
    <n v="1"/>
    <x v="0"/>
    <x v="0"/>
    <n v="1"/>
    <s v="Late_Delivery"/>
    <n v="62"/>
    <n v="3"/>
    <d v="2024-08-14T00:00:00"/>
    <s v="16:28:56"/>
    <m/>
    <n v="453.5428"/>
    <n v="34.047199999999997"/>
    <n v="391.5428"/>
    <n v="425.59"/>
  </r>
  <r>
    <s v="CID162"/>
    <x v="78"/>
    <s v="Mark"/>
    <s v="Summers"/>
    <n v="55"/>
    <x v="1"/>
    <x v="5"/>
    <s v="mark.summers@outlook.com"/>
    <s v="08413 Lynch Parkway, Calderonstad, NV 32697"/>
    <x v="311"/>
    <d v="2023-02-19T00:00:00"/>
    <s v="04:12:20"/>
    <x v="19"/>
    <n v="128.13999999999999"/>
    <n v="1"/>
    <x v="4"/>
    <x v="4"/>
    <n v="1"/>
    <s v="Late_Delivery"/>
    <n v="39"/>
    <n v="6"/>
    <d v="2023-02-25T00:00:00"/>
    <s v="01:46:13"/>
    <m/>
    <n v="154.32599999999999"/>
    <n v="12.813999999999998"/>
    <n v="115.32599999999999"/>
    <n v="128.13999999999999"/>
  </r>
  <r>
    <s v="CID113"/>
    <x v="82"/>
    <s v="Brendan"/>
    <s v="Kelly"/>
    <n v="50"/>
    <x v="2"/>
    <x v="6"/>
    <s v="brendan.kelly@rediffmail.com"/>
    <s v="688 Donald Oval Suite 089, Shepardport, CA 50844"/>
    <x v="312"/>
    <d v="2025-01-27T00:00:00"/>
    <s v="20:53:04"/>
    <x v="42"/>
    <n v="235.63"/>
    <n v="1"/>
    <x v="3"/>
    <x v="3"/>
    <n v="7"/>
    <s v="Before_time"/>
    <n v="46"/>
    <n v="5"/>
    <d v="2025-02-01T00:00:00"/>
    <s v="00:48:16"/>
    <m/>
    <n v="234.50400000000002"/>
    <n v="47.126000000000005"/>
    <n v="188.50400000000002"/>
    <n v="235.63"/>
  </r>
  <r>
    <s v="CID164"/>
    <x v="90"/>
    <s v="Lauren"/>
    <s v="Lane"/>
    <n v="30"/>
    <x v="0"/>
    <x v="7"/>
    <s v="lauren.lane@gmail.com"/>
    <s v="56985 Sergio Extensions, Port Albert, CO 02898"/>
    <x v="313"/>
    <d v="2024-04-18T00:00:00"/>
    <s v="05:27:44"/>
    <x v="21"/>
    <n v="157.63999999999999"/>
    <n v="2"/>
    <x v="3"/>
    <x v="3"/>
    <n v="1"/>
    <s v="On_time"/>
    <n v="57"/>
    <n v="1"/>
    <d v="2024-04-19T00:00:00"/>
    <s v="21:00:17"/>
    <m/>
    <n v="309.22399999999999"/>
    <n v="63.055999999999997"/>
    <n v="252.22399999999999"/>
    <n v="315.27999999999997"/>
  </r>
  <r>
    <s v="CID119"/>
    <x v="74"/>
    <s v="Amy"/>
    <s v="Griffin"/>
    <n v="29"/>
    <x v="0"/>
    <x v="1"/>
    <s v="amy.griffin@rediffmail.com"/>
    <s v="07350 Aaron Meadow Suite 138, Kiaraberg, AL 79545"/>
    <x v="314"/>
    <d v="2023-07-01T00:00:00"/>
    <s v="06:35:14"/>
    <x v="16"/>
    <n v="132.97"/>
    <n v="3"/>
    <x v="1"/>
    <x v="1"/>
    <n v="3"/>
    <s v="Before_time"/>
    <n v="36"/>
    <n v="2"/>
    <d v="2023-07-03T00:00:00"/>
    <s v="23:36:21"/>
    <m/>
    <n v="375.07349999999997"/>
    <n v="59.836499999999994"/>
    <n v="339.07349999999997"/>
    <n v="398.90999999999997"/>
  </r>
  <r>
    <s v="CID169"/>
    <x v="32"/>
    <s v="Robert"/>
    <s v="Castillo"/>
    <n v="32"/>
    <x v="1"/>
    <x v="6"/>
    <s v="robert.castillo@gmail.com"/>
    <s v="7143 Brandon Skyway Suite 899, Tylerton, IA 21756"/>
    <x v="315"/>
    <d v="2023-08-05T00:00:00"/>
    <s v="20:14:30"/>
    <x v="24"/>
    <n v="481.48"/>
    <n v="1"/>
    <x v="1"/>
    <x v="1"/>
    <n v="4"/>
    <s v="Late_Delivery"/>
    <n v="67"/>
    <n v="7"/>
    <d v="2023-08-12T00:00:00"/>
    <s v="12:31:00"/>
    <m/>
    <n v="476.25799999999998"/>
    <n v="72.222000000000008"/>
    <n v="409.25799999999998"/>
    <n v="481.48"/>
  </r>
  <r>
    <s v="CID172"/>
    <x v="10"/>
    <s v="Kara"/>
    <s v="Brennan"/>
    <n v="25"/>
    <x v="2"/>
    <x v="4"/>
    <s v="kara.brennan@outlook.com"/>
    <s v="2174 Thomas Avenue, Maciasborough, NJ 41465"/>
    <x v="316"/>
    <d v="2023-10-12T00:00:00"/>
    <s v="06:46:07"/>
    <x v="24"/>
    <n v="481.48"/>
    <n v="2"/>
    <x v="4"/>
    <x v="4"/>
    <n v="7"/>
    <s v="On_time"/>
    <n v="66"/>
    <n v="7"/>
    <d v="2023-10-19T00:00:00"/>
    <s v="19:17:45"/>
    <m/>
    <n v="932.6640000000001"/>
    <n v="96.296000000000006"/>
    <n v="866.6640000000001"/>
    <n v="962.96"/>
  </r>
  <r>
    <s v="CID151"/>
    <x v="91"/>
    <s v="William"/>
    <s v="Richmond"/>
    <n v="57"/>
    <x v="2"/>
    <x v="4"/>
    <s v="william.richmond@outlook.com"/>
    <s v="4021 Brown Orchard Apt. 026, Christinahaven, OK 18499"/>
    <x v="317"/>
    <d v="2023-08-09T00:00:00"/>
    <s v="23:19:47"/>
    <x v="22"/>
    <n v="158.53"/>
    <n v="5"/>
    <x v="3"/>
    <x v="3"/>
    <n v="1"/>
    <s v="Late_Delivery"/>
    <n v="46"/>
    <n v="4"/>
    <d v="2023-08-13T00:00:00"/>
    <s v="16:06:37"/>
    <m/>
    <n v="680.12"/>
    <n v="158.53"/>
    <n v="634.12"/>
    <n v="792.65"/>
  </r>
  <r>
    <s v="CID122"/>
    <x v="87"/>
    <s v="Jared"/>
    <s v="Horn"/>
    <n v="43"/>
    <x v="0"/>
    <x v="4"/>
    <s v="jared.horn@outlook.com"/>
    <s v="43325 Barbara Tunnel, Port James, LA 16246"/>
    <x v="318"/>
    <d v="2024-12-11T00:00:00"/>
    <s v="12:50:48"/>
    <x v="12"/>
    <n v="272.51"/>
    <n v="2"/>
    <x v="3"/>
    <x v="3"/>
    <n v="5"/>
    <s v="Before_time"/>
    <n v="37"/>
    <n v="3"/>
    <d v="2024-12-14T00:00:00"/>
    <s v="19:56:33"/>
    <m/>
    <n v="473.01600000000002"/>
    <n v="109.00399999999999"/>
    <n v="436.01600000000002"/>
    <n v="545.02"/>
  </r>
  <r>
    <s v="CID113"/>
    <x v="82"/>
    <s v="Brendan"/>
    <s v="Kelly"/>
    <n v="50"/>
    <x v="2"/>
    <x v="6"/>
    <s v="brendan.kelly@rediffmail.com"/>
    <s v="688 Donald Oval Suite 089, Shepardport, CA 50844"/>
    <x v="319"/>
    <d v="2024-12-30T00:00:00"/>
    <s v="21:08:26"/>
    <x v="13"/>
    <n v="104.18"/>
    <n v="2"/>
    <x v="1"/>
    <x v="1"/>
    <n v="5"/>
    <s v="Before_time"/>
    <n v="65"/>
    <n v="1"/>
    <d v="2024-12-31T00:00:00"/>
    <s v="09:20:03"/>
    <m/>
    <n v="242.10599999999999"/>
    <n v="31.254000000000001"/>
    <n v="177.10599999999999"/>
    <n v="208.36"/>
  </r>
  <r>
    <s v="CID148"/>
    <x v="13"/>
    <s v="Erin"/>
    <s v="Miller"/>
    <n v="46"/>
    <x v="0"/>
    <x v="6"/>
    <s v="erin.miller@gmail.com"/>
    <s v="65972 Peterson Route, Port Andrewfurt, SD 32892"/>
    <x v="320"/>
    <d v="2024-07-06T00:00:00"/>
    <s v="10:50:30"/>
    <x v="46"/>
    <n v="20"/>
    <n v="2"/>
    <x v="4"/>
    <x v="4"/>
    <n v="3"/>
    <s v="Late_Delivery"/>
    <n v="38"/>
    <n v="6"/>
    <d v="2024-07-12T00:00:00"/>
    <s v="16:59:14"/>
    <m/>
    <n v="74"/>
    <n v="4"/>
    <n v="36"/>
    <n v="40"/>
  </r>
  <r>
    <s v="CID165"/>
    <x v="40"/>
    <s v="Mary"/>
    <s v="Knight"/>
    <n v="28"/>
    <x v="2"/>
    <x v="2"/>
    <s v="mary.knight@yahoo.com"/>
    <s v="907 Kimberly Hill, Murrayfort, NH 88384"/>
    <x v="321"/>
    <d v="2024-07-28T00:00:00"/>
    <s v="11:53:55"/>
    <x v="43"/>
    <n v="424.82"/>
    <n v="1"/>
    <x v="0"/>
    <x v="0"/>
    <n v="5"/>
    <s v="Late_Delivery"/>
    <n v="49"/>
    <n v="7"/>
    <d v="2024-08-04T00:00:00"/>
    <s v="00:56:01"/>
    <m/>
    <n v="439.83440000000002"/>
    <n v="33.985599999999998"/>
    <n v="390.83440000000002"/>
    <n v="424.82"/>
  </r>
  <r>
    <s v="CID141"/>
    <x v="86"/>
    <s v="Megan"/>
    <s v="Hunt"/>
    <n v="63"/>
    <x v="0"/>
    <x v="6"/>
    <s v="megan.hunt@rediffmail.com"/>
    <s v="03765 Velazquez Knoll Suite 478, Richardshire, UT 17200"/>
    <x v="322"/>
    <d v="2023-06-30T00:00:00"/>
    <s v="04:03:12"/>
    <x v="11"/>
    <n v="220.27"/>
    <n v="5"/>
    <x v="3"/>
    <x v="3"/>
    <n v="6"/>
    <s v="Before_time"/>
    <n v="57"/>
    <n v="2"/>
    <d v="2023-07-02T00:00:00"/>
    <s v="13:27:06"/>
    <m/>
    <n v="938.08000000000015"/>
    <n v="220.27000000000004"/>
    <n v="881.08000000000015"/>
    <n v="1101.3500000000001"/>
  </r>
  <r>
    <s v="CID187"/>
    <x v="36"/>
    <s v="Jason"/>
    <s v="Lopez"/>
    <n v="40"/>
    <x v="2"/>
    <x v="6"/>
    <s v="jason.lopez@outlook.com"/>
    <s v="934 Levine View, Brentport, NE 38210"/>
    <x v="323"/>
    <d v="2024-08-23T00:00:00"/>
    <s v="19:44:28"/>
    <x v="36"/>
    <n v="425.59"/>
    <n v="5"/>
    <x v="2"/>
    <x v="2"/>
    <n v="4"/>
    <s v="On_time"/>
    <n v="43"/>
    <n v="4"/>
    <d v="2024-08-27T00:00:00"/>
    <s v="02:51:48"/>
    <m/>
    <n v="2170.9499999999998"/>
    <n v="0"/>
    <n v="2127.9499999999998"/>
    <n v="2127.9499999999998"/>
  </r>
  <r>
    <s v="CID164"/>
    <x v="90"/>
    <s v="Lauren"/>
    <s v="Lane"/>
    <n v="30"/>
    <x v="0"/>
    <x v="7"/>
    <s v="lauren.lane@gmail.com"/>
    <s v="56985 Sergio Extensions, Port Albert, CO 02898"/>
    <x v="324"/>
    <d v="2024-05-08T00:00:00"/>
    <s v="12:38:37"/>
    <x v="7"/>
    <n v="48.45"/>
    <n v="3"/>
    <x v="4"/>
    <x v="4"/>
    <n v="2"/>
    <s v="On_time"/>
    <n v="63"/>
    <n v="2"/>
    <d v="2024-05-10T00:00:00"/>
    <s v="19:14:57"/>
    <m/>
    <n v="193.81500000000003"/>
    <n v="14.535000000000002"/>
    <n v="130.81500000000003"/>
    <n v="145.35000000000002"/>
  </r>
  <r>
    <s v="CID117"/>
    <x v="84"/>
    <s v="Hannah"/>
    <s v="Gutierrez"/>
    <n v="55"/>
    <x v="1"/>
    <x v="5"/>
    <s v="hannah.gutierrez@yahoo.com"/>
    <s v="2420 David Manors, Jessicaland, CT 41698"/>
    <x v="325"/>
    <d v="2023-09-17T00:00:00"/>
    <s v="14:52:37"/>
    <x v="13"/>
    <n v="104.18"/>
    <n v="2"/>
    <x v="0"/>
    <x v="0"/>
    <n v="4"/>
    <s v="On_time"/>
    <n v="43"/>
    <n v="4"/>
    <d v="2023-09-21T00:00:00"/>
    <s v="09:59:33"/>
    <m/>
    <n v="234.69120000000001"/>
    <n v="16.668800000000001"/>
    <n v="191.69120000000001"/>
    <n v="208.36"/>
  </r>
  <r>
    <s v="CID154"/>
    <x v="85"/>
    <s v="Angela"/>
    <s v="Casey"/>
    <n v="40"/>
    <x v="0"/>
    <x v="2"/>
    <s v="angela.casey@gmail.com"/>
    <s v="089 Farley Terrace, Thomashaven, MT 56607"/>
    <x v="326"/>
    <d v="2023-09-26T00:00:00"/>
    <s v="08:43:40"/>
    <x v="40"/>
    <n v="445.81"/>
    <n v="1"/>
    <x v="2"/>
    <x v="2"/>
    <n v="1"/>
    <s v="Late_Delivery"/>
    <n v="51"/>
    <n v="3"/>
    <d v="2023-09-29T00:00:00"/>
    <s v="05:13:28"/>
    <m/>
    <n v="496.81"/>
    <n v="0"/>
    <n v="445.81"/>
    <n v="445.81"/>
  </r>
  <r>
    <s v="CID157"/>
    <x v="89"/>
    <s v="Sarah"/>
    <s v="Benson"/>
    <n v="40"/>
    <x v="2"/>
    <x v="7"/>
    <s v="sarah.benson@outlook.com"/>
    <s v="5399 Hayes Well, West Pennystad, IL 93798"/>
    <x v="327"/>
    <d v="2024-10-08T00:00:00"/>
    <s v="03:11:02"/>
    <x v="16"/>
    <n v="132.97"/>
    <n v="2"/>
    <x v="4"/>
    <x v="4"/>
    <n v="6"/>
    <s v="Before_time"/>
    <n v="69"/>
    <n v="5"/>
    <d v="2024-10-13T00:00:00"/>
    <s v="19:39:57"/>
    <m/>
    <n v="308.346"/>
    <n v="26.594000000000001"/>
    <n v="239.346"/>
    <n v="265.94"/>
  </r>
  <r>
    <s v="CID117"/>
    <x v="84"/>
    <s v="Hannah"/>
    <s v="Gutierrez"/>
    <n v="55"/>
    <x v="1"/>
    <x v="5"/>
    <s v="hannah.gutierrez@yahoo.com"/>
    <s v="2420 David Manors, Jessicaland, CT 41698"/>
    <x v="328"/>
    <d v="2024-04-02T00:00:00"/>
    <s v="17:17:44"/>
    <x v="33"/>
    <n v="421.7"/>
    <n v="4"/>
    <x v="0"/>
    <x v="0"/>
    <n v="5"/>
    <s v="On_time"/>
    <n v="55"/>
    <n v="5"/>
    <d v="2024-04-07T00:00:00"/>
    <s v="11:45:52"/>
    <m/>
    <n v="1606.856"/>
    <n v="134.94399999999999"/>
    <n v="1551.856"/>
    <n v="1686.8"/>
  </r>
  <r>
    <s v="CID117"/>
    <x v="84"/>
    <s v="Hannah"/>
    <s v="Gutierrez"/>
    <n v="55"/>
    <x v="1"/>
    <x v="5"/>
    <s v="hannah.gutierrez@yahoo.com"/>
    <s v="2420 David Manors, Jessicaland, CT 41698"/>
    <x v="329"/>
    <d v="2024-04-06T00:00:00"/>
    <s v="17:27:56"/>
    <x v="38"/>
    <n v="477.52"/>
    <n v="1"/>
    <x v="2"/>
    <x v="2"/>
    <n v="7"/>
    <s v="Before_time"/>
    <n v="48"/>
    <n v="5"/>
    <d v="2024-04-11T00:00:00"/>
    <s v="05:22:25"/>
    <m/>
    <n v="525.52"/>
    <n v="0"/>
    <n v="477.52"/>
    <n v="477.52"/>
  </r>
  <r>
    <s v="CID129"/>
    <x v="43"/>
    <s v="Rebecca"/>
    <s v="Figueroa"/>
    <n v="63"/>
    <x v="0"/>
    <x v="4"/>
    <s v="rebecca.figueroa@outlook.com"/>
    <s v="3959 Bell Dale, North Jacob, LA 07934"/>
    <x v="330"/>
    <d v="2024-11-27T00:00:00"/>
    <s v="03:23:04"/>
    <x v="46"/>
    <n v="20"/>
    <n v="2"/>
    <x v="2"/>
    <x v="2"/>
    <n v="5"/>
    <s v="Late_Delivery"/>
    <n v="55"/>
    <n v="6"/>
    <d v="2024-12-03T00:00:00"/>
    <s v="05:02:16"/>
    <m/>
    <n v="95"/>
    <n v="0"/>
    <n v="40"/>
    <n v="40"/>
  </r>
  <r>
    <s v="CID193"/>
    <x v="22"/>
    <s v="Ashley"/>
    <s v="Rose"/>
    <n v="60"/>
    <x v="2"/>
    <x v="0"/>
    <s v="ashley.rose@gmail.com"/>
    <s v="424 Nichols Curve Suite 177, Lake Brianview, TX 17289"/>
    <x v="331"/>
    <d v="2024-07-25T00:00:00"/>
    <s v="08:45:23"/>
    <x v="42"/>
    <n v="235.63"/>
    <n v="1"/>
    <x v="4"/>
    <x v="4"/>
    <n v="1"/>
    <s v="Late_Delivery"/>
    <n v="38"/>
    <n v="6"/>
    <d v="2024-07-31T00:00:00"/>
    <s v="15:13:07"/>
    <m/>
    <n v="250.06700000000001"/>
    <n v="23.563000000000002"/>
    <n v="212.06700000000001"/>
    <n v="235.63"/>
  </r>
  <r>
    <s v="CID113"/>
    <x v="82"/>
    <s v="Brendan"/>
    <s v="Kelly"/>
    <n v="50"/>
    <x v="2"/>
    <x v="6"/>
    <s v="brendan.kelly@rediffmail.com"/>
    <s v="688 Donald Oval Suite 089, Shepardport, CA 50844"/>
    <x v="332"/>
    <d v="2023-12-29T00:00:00"/>
    <s v="08:36:31"/>
    <x v="49"/>
    <n v="33.49"/>
    <n v="4"/>
    <x v="1"/>
    <x v="1"/>
    <n v="4"/>
    <s v="Late_Delivery"/>
    <n v="67"/>
    <n v="5"/>
    <d v="2024-01-03T00:00:00"/>
    <s v="19:33:15"/>
    <m/>
    <n v="180.86599999999999"/>
    <n v="20.094000000000001"/>
    <n v="113.866"/>
    <n v="133.96"/>
  </r>
  <r>
    <s v="CID121"/>
    <x v="30"/>
    <s v="Julie"/>
    <s v="Meyer"/>
    <n v="23"/>
    <x v="0"/>
    <x v="0"/>
    <s v="julie.meyer@yahoo.com"/>
    <s v="17381 Smith Ramp Suite 398, Courtneyville, AL 17756"/>
    <x v="333"/>
    <d v="2023-12-11T00:00:00"/>
    <s v="21:53:54"/>
    <x v="34"/>
    <n v="136.30000000000001"/>
    <n v="4"/>
    <x v="4"/>
    <x v="4"/>
    <n v="1"/>
    <s v="Late_Delivery"/>
    <n v="35"/>
    <n v="4"/>
    <d v="2023-12-15T00:00:00"/>
    <s v="23:00:06"/>
    <m/>
    <n v="525.68000000000006"/>
    <n v="54.52"/>
    <n v="490.68000000000006"/>
    <n v="545.20000000000005"/>
  </r>
  <r>
    <s v="CID127"/>
    <x v="76"/>
    <s v="Natasha"/>
    <s v="Michael"/>
    <n v="49"/>
    <x v="0"/>
    <x v="1"/>
    <s v="natasha.michael@gmail.com"/>
    <s v="78992 Justin Estates Suite 226, Floresberg, NM 40797"/>
    <x v="334"/>
    <d v="2023-07-15T00:00:00"/>
    <s v="10:58:30"/>
    <x v="18"/>
    <n v="282.63"/>
    <n v="4"/>
    <x v="4"/>
    <x v="4"/>
    <n v="1"/>
    <s v="Late_Delivery"/>
    <n v="48"/>
    <n v="3"/>
    <d v="2023-07-18T00:00:00"/>
    <s v="13:36:46"/>
    <m/>
    <n v="1065.4679999999998"/>
    <n v="113.05200000000001"/>
    <n v="1017.468"/>
    <n v="1130.52"/>
  </r>
  <r>
    <s v="CID171"/>
    <x v="72"/>
    <s v="Leslie"/>
    <s v="Montgomery"/>
    <n v="26"/>
    <x v="1"/>
    <x v="5"/>
    <s v="leslie.montgomery@gmail.com"/>
    <s v="135 Teresa Oval Apt. 825, East Katherineport, WY 13714"/>
    <x v="335"/>
    <d v="2024-12-01T00:00:00"/>
    <s v="05:53:55"/>
    <x v="12"/>
    <n v="272.51"/>
    <n v="5"/>
    <x v="4"/>
    <x v="4"/>
    <n v="4"/>
    <s v="Before_time"/>
    <n v="45"/>
    <n v="3"/>
    <d v="2024-12-04T00:00:00"/>
    <s v="02:00:46"/>
    <m/>
    <n v="1271.2950000000001"/>
    <n v="136.255"/>
    <n v="1226.2950000000001"/>
    <n v="1362.55"/>
  </r>
  <r>
    <s v="CID160"/>
    <x v="71"/>
    <s v="James"/>
    <s v="Brown"/>
    <n v="60"/>
    <x v="0"/>
    <x v="4"/>
    <s v="james.brown@yahoo.com"/>
    <s v="221 Frey Crossing Suite 192, South Taylorland, HI 72875"/>
    <x v="336"/>
    <d v="2023-05-07T00:00:00"/>
    <s v="11:51:15"/>
    <x v="6"/>
    <n v="275.44"/>
    <n v="2"/>
    <x v="1"/>
    <x v="1"/>
    <n v="4"/>
    <s v="Late_Delivery"/>
    <n v="54"/>
    <n v="6"/>
    <d v="2023-05-13T00:00:00"/>
    <s v="10:20:47"/>
    <m/>
    <n v="522.24800000000005"/>
    <n v="82.632000000000005"/>
    <n v="468.24799999999999"/>
    <n v="550.88"/>
  </r>
  <r>
    <s v="CID132"/>
    <x v="33"/>
    <s v="Timothy"/>
    <s v="Hicks"/>
    <n v="31"/>
    <x v="2"/>
    <x v="4"/>
    <s v="timothy.hicks@gmail.com"/>
    <s v="140 Tracy Fields, Lake Cynthiaton, TX 57190"/>
    <x v="337"/>
    <d v="2023-08-10T00:00:00"/>
    <s v="12:37:13"/>
    <x v="35"/>
    <n v="441.03"/>
    <n v="2"/>
    <x v="0"/>
    <x v="0"/>
    <n v="3"/>
    <s v="On_time"/>
    <n v="62"/>
    <n v="3"/>
    <d v="2023-08-13T00:00:00"/>
    <s v="14:41:40"/>
    <m/>
    <n v="873.49519999999995"/>
    <n v="70.564799999999991"/>
    <n v="811.49519999999995"/>
    <n v="882.06"/>
  </r>
  <r>
    <s v="CID187"/>
    <x v="36"/>
    <s v="Jason"/>
    <s v="Lopez"/>
    <n v="40"/>
    <x v="2"/>
    <x v="6"/>
    <s v="jason.lopez@outlook.com"/>
    <s v="934 Levine View, Brentport, NE 38210"/>
    <x v="338"/>
    <d v="2023-12-25T00:00:00"/>
    <s v="14:59:43"/>
    <x v="23"/>
    <n v="129.75"/>
    <n v="2"/>
    <x v="1"/>
    <x v="1"/>
    <n v="1"/>
    <s v="Late_Delivery"/>
    <n v="62"/>
    <n v="5"/>
    <d v="2023-12-30T00:00:00"/>
    <s v="06:29:31"/>
    <m/>
    <n v="282.57499999999999"/>
    <n v="38.924999999999997"/>
    <n v="220.57499999999999"/>
    <n v="259.5"/>
  </r>
  <r>
    <s v="CID131"/>
    <x v="88"/>
    <s v="Veronica"/>
    <s v="Lopez"/>
    <n v="18"/>
    <x v="1"/>
    <x v="7"/>
    <s v="veronica.lopez@gmail.com"/>
    <s v="660 Karen Station Apt. 887, Allenside, ID 03170"/>
    <x v="339"/>
    <d v="2025-01-25T00:00:00"/>
    <s v="14:04:30"/>
    <x v="38"/>
    <n v="477.52"/>
    <n v="3"/>
    <x v="3"/>
    <x v="3"/>
    <n v="7"/>
    <s v="Before_time"/>
    <n v="41"/>
    <n v="4"/>
    <d v="2025-01-29T00:00:00"/>
    <s v="02:17:23"/>
    <m/>
    <n v="1187.048"/>
    <n v="286.51199999999994"/>
    <n v="1146.048"/>
    <n v="1432.56"/>
  </r>
  <r>
    <s v="CID100"/>
    <x v="48"/>
    <s v="Sharon"/>
    <s v="Thompson"/>
    <n v="57"/>
    <x v="1"/>
    <x v="7"/>
    <s v="sharon.thompson@yahoo.com"/>
    <s v="598 Jasmine Harbor, Turnerberg, SD 02371"/>
    <x v="340"/>
    <d v="2024-06-10T00:00:00"/>
    <s v="19:09:08"/>
    <x v="48"/>
    <n v="107.47"/>
    <n v="3"/>
    <x v="4"/>
    <x v="4"/>
    <n v="4"/>
    <s v="Before_time"/>
    <n v="59"/>
    <n v="1"/>
    <d v="2024-06-11T00:00:00"/>
    <s v="23:23:19"/>
    <m/>
    <n v="349.16899999999998"/>
    <n v="32.240999999999993"/>
    <n v="290.16899999999998"/>
    <n v="322.40999999999997"/>
  </r>
  <r>
    <s v="CID188"/>
    <x v="68"/>
    <s v="Kristina"/>
    <s v="Haynes"/>
    <n v="27"/>
    <x v="0"/>
    <x v="1"/>
    <s v="kristina.haynes@yahoo.com"/>
    <s v="18295 Thomas River, Kochville, NH 80868"/>
    <x v="341"/>
    <d v="2023-09-16T00:00:00"/>
    <s v="23:47:36"/>
    <x v="22"/>
    <n v="158.53"/>
    <n v="2"/>
    <x v="0"/>
    <x v="0"/>
    <n v="2"/>
    <s v="On_time"/>
    <n v="56"/>
    <n v="2"/>
    <d v="2023-09-18T00:00:00"/>
    <s v="04:39:51"/>
    <m/>
    <n v="347.6952"/>
    <n v="25.364799999999999"/>
    <n v="291.6952"/>
    <n v="317.06"/>
  </r>
  <r>
    <s v="CID164"/>
    <x v="90"/>
    <s v="Lauren"/>
    <s v="Lane"/>
    <n v="30"/>
    <x v="0"/>
    <x v="7"/>
    <s v="lauren.lane@gmail.com"/>
    <s v="56985 Sergio Extensions, Port Albert, CO 02898"/>
    <x v="342"/>
    <d v="2024-05-11T00:00:00"/>
    <s v="09:05:02"/>
    <x v="35"/>
    <n v="441.03"/>
    <n v="2"/>
    <x v="2"/>
    <x v="2"/>
    <n v="4"/>
    <s v="Late_Delivery"/>
    <n v="55"/>
    <n v="6"/>
    <d v="2024-05-17T00:00:00"/>
    <s v="05:31:50"/>
    <m/>
    <n v="937.06"/>
    <n v="0"/>
    <n v="882.06"/>
    <n v="882.06"/>
  </r>
  <r>
    <s v="CID194"/>
    <x v="67"/>
    <s v="Barbara"/>
    <s v="Fuller"/>
    <n v="43"/>
    <x v="2"/>
    <x v="5"/>
    <s v="barbara.fuller@rediffmail.com"/>
    <s v="134 Mcintosh Unions Suite 574, Lake Laura, DE 96577"/>
    <x v="343"/>
    <d v="2023-02-09T00:00:00"/>
    <s v="09:15:42"/>
    <x v="32"/>
    <n v="87.09"/>
    <n v="5"/>
    <x v="2"/>
    <x v="2"/>
    <n v="7"/>
    <s v="Before_time"/>
    <n v="56"/>
    <n v="5"/>
    <d v="2023-02-14T00:00:00"/>
    <s v="09:33:25"/>
    <m/>
    <n v="491.45000000000005"/>
    <n v="0"/>
    <n v="435.45000000000005"/>
    <n v="435.45000000000005"/>
  </r>
  <r>
    <s v="CID158"/>
    <x v="21"/>
    <s v="Angela"/>
    <s v="Evans"/>
    <n v="52"/>
    <x v="2"/>
    <x v="1"/>
    <s v="angela.evans@outlook.com"/>
    <s v="16031 David Mountain Suite 431, Susanborough, PA 01910"/>
    <x v="344"/>
    <d v="2024-01-12T00:00:00"/>
    <s v="16:29:18"/>
    <x v="13"/>
    <n v="104.18"/>
    <n v="4"/>
    <x v="2"/>
    <x v="2"/>
    <n v="3"/>
    <s v="Late_Delivery"/>
    <n v="40"/>
    <n v="5"/>
    <d v="2024-01-17T00:00:00"/>
    <s v="19:58:19"/>
    <m/>
    <n v="456.72"/>
    <n v="0"/>
    <n v="416.72"/>
    <n v="416.72"/>
  </r>
  <r>
    <s v="CID175"/>
    <x v="50"/>
    <s v="Katherine"/>
    <s v="Weber"/>
    <n v="42"/>
    <x v="2"/>
    <x v="2"/>
    <s v="katherine.weber@outlook.com"/>
    <s v="04887 Kimberly Union Apt. 645, Port Laura, IL 97219"/>
    <x v="345"/>
    <d v="2025-01-09T00:00:00"/>
    <s v="17:23:49"/>
    <x v="49"/>
    <n v="33.49"/>
    <n v="1"/>
    <x v="3"/>
    <x v="3"/>
    <n v="4"/>
    <s v="Before_time"/>
    <n v="61"/>
    <n v="2"/>
    <d v="2025-01-11T00:00:00"/>
    <s v="01:46:13"/>
    <m/>
    <n v="87.792000000000002"/>
    <n v="6.6980000000000004"/>
    <n v="26.792000000000002"/>
    <n v="33.49"/>
  </r>
  <r>
    <s v="CID164"/>
    <x v="90"/>
    <s v="Lauren"/>
    <s v="Lane"/>
    <n v="30"/>
    <x v="0"/>
    <x v="7"/>
    <s v="lauren.lane@gmail.com"/>
    <s v="56985 Sergio Extensions, Port Albert, CO 02898"/>
    <x v="346"/>
    <d v="2024-04-04T00:00:00"/>
    <s v="06:51:49"/>
    <x v="41"/>
    <n v="433.62"/>
    <n v="4"/>
    <x v="2"/>
    <x v="2"/>
    <n v="1"/>
    <s v="Late_Delivery"/>
    <n v="56"/>
    <n v="6"/>
    <d v="2024-04-10T00:00:00"/>
    <s v="08:40:53"/>
    <m/>
    <n v="1790.48"/>
    <n v="0"/>
    <n v="1734.48"/>
    <n v="1734.48"/>
  </r>
  <r>
    <s v="CID142"/>
    <x v="81"/>
    <s v="Thomas"/>
    <s v="Owens"/>
    <n v="34"/>
    <x v="2"/>
    <x v="7"/>
    <s v="thomas.owens@outlook.com"/>
    <s v="43920 Shaffer Valley Suite 531, South Jerry, MD 67120"/>
    <x v="347"/>
    <d v="2023-06-08T00:00:00"/>
    <s v="23:40:03"/>
    <x v="14"/>
    <n v="20.7"/>
    <n v="1"/>
    <x v="2"/>
    <x v="2"/>
    <n v="5"/>
    <s v="Before_time"/>
    <n v="51"/>
    <n v="1"/>
    <d v="2023-06-09T00:00:00"/>
    <s v="09:33:08"/>
    <m/>
    <n v="71.7"/>
    <n v="0"/>
    <n v="20.7"/>
    <n v="20.7"/>
  </r>
  <r>
    <s v="CID126"/>
    <x v="41"/>
    <s v="Marcus"/>
    <s v="Rogers"/>
    <n v="36"/>
    <x v="1"/>
    <x v="0"/>
    <s v="marcus.rogers@outlook.com"/>
    <s v="06912 Brown Pine Apt. 763, Teresamouth, HI 24377"/>
    <x v="348"/>
    <d v="2023-04-12T00:00:00"/>
    <s v="00:41:18"/>
    <x v="35"/>
    <n v="441.03"/>
    <n v="2"/>
    <x v="4"/>
    <x v="4"/>
    <n v="4"/>
    <s v="Late_Delivery"/>
    <n v="60"/>
    <n v="5"/>
    <d v="2023-04-17T00:00:00"/>
    <s v="09:19:40"/>
    <m/>
    <n v="853.85399999999993"/>
    <n v="88.205999999999989"/>
    <n v="793.85399999999993"/>
    <n v="882.06"/>
  </r>
  <r>
    <s v="CID113"/>
    <x v="82"/>
    <s v="Brendan"/>
    <s v="Kelly"/>
    <n v="50"/>
    <x v="2"/>
    <x v="6"/>
    <s v="brendan.kelly@rediffmail.com"/>
    <s v="688 Donald Oval Suite 089, Shepardport, CA 50844"/>
    <x v="349"/>
    <d v="2023-09-14T00:00:00"/>
    <s v="23:27:24"/>
    <x v="41"/>
    <n v="433.62"/>
    <n v="2"/>
    <x v="2"/>
    <x v="2"/>
    <n v="1"/>
    <s v="Late_Delivery"/>
    <n v="46"/>
    <n v="3"/>
    <d v="2023-09-17T00:00:00"/>
    <s v="06:00:22"/>
    <m/>
    <n v="913.24"/>
    <n v="0"/>
    <n v="867.24"/>
    <n v="867.24"/>
  </r>
  <r>
    <s v="CID179"/>
    <x v="18"/>
    <s v="Christian"/>
    <s v="Clayton"/>
    <n v="39"/>
    <x v="1"/>
    <x v="5"/>
    <s v="christian.clayton@yahoo.com"/>
    <s v="065 Madison Way, Smithstad, CT 68011"/>
    <x v="350"/>
    <d v="2024-04-05T00:00:00"/>
    <s v="02:46:27"/>
    <x v="43"/>
    <n v="424.82"/>
    <n v="5"/>
    <x v="4"/>
    <x v="4"/>
    <n v="7"/>
    <s v="Before_time"/>
    <n v="37"/>
    <n v="6"/>
    <d v="2024-04-11T00:00:00"/>
    <s v="06:40:47"/>
    <m/>
    <n v="1948.69"/>
    <n v="212.41"/>
    <n v="1911.69"/>
    <n v="2124.1"/>
  </r>
  <r>
    <s v="CID123"/>
    <x v="60"/>
    <s v="Christy"/>
    <s v="Chang"/>
    <n v="38"/>
    <x v="1"/>
    <x v="7"/>
    <s v="christy.chang@outlook.com"/>
    <s v="4647 Hannah Centers, Rhodesburgh, NH 89363"/>
    <x v="351"/>
    <d v="2024-07-23T00:00:00"/>
    <s v="06:59:53"/>
    <x v="41"/>
    <n v="433.62"/>
    <n v="3"/>
    <x v="4"/>
    <x v="4"/>
    <n v="2"/>
    <s v="Late_Delivery"/>
    <n v="39"/>
    <n v="3"/>
    <d v="2024-07-26T00:00:00"/>
    <s v="21:07:49"/>
    <m/>
    <n v="1209.7740000000001"/>
    <n v="130.08600000000001"/>
    <n v="1170.7740000000001"/>
    <n v="1300.8600000000001"/>
  </r>
  <r>
    <s v="CID173"/>
    <x v="73"/>
    <s v="Susan"/>
    <s v="Thompson"/>
    <n v="37"/>
    <x v="2"/>
    <x v="7"/>
    <s v="susan.thompson@outlook.com"/>
    <s v="47821 William Station, East Ashleymouth, FL 20562"/>
    <x v="352"/>
    <d v="2023-09-18T00:00:00"/>
    <s v="20:28:31"/>
    <x v="42"/>
    <n v="235.63"/>
    <n v="1"/>
    <x v="3"/>
    <x v="3"/>
    <n v="5"/>
    <s v="On_time"/>
    <n v="59"/>
    <n v="5"/>
    <d v="2023-09-23T00:00:00"/>
    <s v="22:26:18"/>
    <m/>
    <n v="247.50400000000002"/>
    <n v="47.126000000000005"/>
    <n v="188.50400000000002"/>
    <n v="235.63"/>
  </r>
  <r>
    <s v="CID157"/>
    <x v="89"/>
    <s v="Sarah"/>
    <s v="Benson"/>
    <n v="40"/>
    <x v="2"/>
    <x v="7"/>
    <s v="sarah.benson@outlook.com"/>
    <s v="5399 Hayes Well, West Pennystad, IL 93798"/>
    <x v="353"/>
    <d v="2023-09-21T00:00:00"/>
    <s v="13:39:02"/>
    <x v="33"/>
    <n v="421.7"/>
    <n v="5"/>
    <x v="1"/>
    <x v="1"/>
    <n v="6"/>
    <s v="Late_Delivery"/>
    <n v="58"/>
    <n v="7"/>
    <d v="2023-09-28T00:00:00"/>
    <s v="06:39:28"/>
    <m/>
    <n v="1850.2249999999999"/>
    <n v="316.27499999999998"/>
    <n v="1792.2249999999999"/>
    <n v="2108.5"/>
  </r>
  <r>
    <s v="CID100"/>
    <x v="48"/>
    <s v="Sharon"/>
    <s v="Thompson"/>
    <n v="57"/>
    <x v="1"/>
    <x v="7"/>
    <s v="sharon.thompson@yahoo.com"/>
    <s v="598 Jasmine Harbor, Turnerberg, SD 02371"/>
    <x v="354"/>
    <d v="2024-07-06T00:00:00"/>
    <s v="09:27:52"/>
    <x v="25"/>
    <n v="77.84"/>
    <n v="4"/>
    <x v="3"/>
    <x v="3"/>
    <n v="2"/>
    <s v="Late_Delivery"/>
    <n v="59"/>
    <n v="6"/>
    <d v="2024-07-12T00:00:00"/>
    <s v="20:53:18"/>
    <m/>
    <n v="308.08800000000002"/>
    <n v="62.272000000000006"/>
    <n v="249.08800000000002"/>
    <n v="311.36"/>
  </r>
  <r>
    <s v="CID117"/>
    <x v="84"/>
    <s v="Hannah"/>
    <s v="Gutierrez"/>
    <n v="55"/>
    <x v="1"/>
    <x v="5"/>
    <s v="hannah.gutierrez@yahoo.com"/>
    <s v="2420 David Manors, Jessicaland, CT 41698"/>
    <x v="355"/>
    <d v="2023-02-25T00:00:00"/>
    <s v="04:59:13"/>
    <x v="32"/>
    <n v="87.09"/>
    <n v="2"/>
    <x v="1"/>
    <x v="1"/>
    <n v="3"/>
    <s v="Late_Delivery"/>
    <n v="62"/>
    <n v="5"/>
    <d v="2023-03-02T00:00:00"/>
    <s v="16:22:11"/>
    <m/>
    <n v="210.053"/>
    <n v="26.127000000000002"/>
    <n v="148.053"/>
    <n v="174.18"/>
  </r>
  <r>
    <s v="CID122"/>
    <x v="87"/>
    <s v="Jared"/>
    <s v="Horn"/>
    <n v="43"/>
    <x v="0"/>
    <x v="4"/>
    <s v="jared.horn@outlook.com"/>
    <s v="43325 Barbara Tunnel, Port James, LA 16246"/>
    <x v="356"/>
    <d v="2024-04-15T00:00:00"/>
    <s v="01:19:42"/>
    <x v="13"/>
    <n v="104.18"/>
    <n v="3"/>
    <x v="4"/>
    <x v="4"/>
    <n v="6"/>
    <s v="Before_time"/>
    <n v="60"/>
    <n v="1"/>
    <d v="2024-04-16T00:00:00"/>
    <s v="01:52:14"/>
    <m/>
    <n v="341.286"/>
    <n v="31.254000000000001"/>
    <n v="281.286"/>
    <n v="312.54000000000002"/>
  </r>
  <r>
    <s v="CID124"/>
    <x v="70"/>
    <s v="Edward"/>
    <s v="Black"/>
    <n v="42"/>
    <x v="0"/>
    <x v="2"/>
    <s v="edward.black@gmail.com"/>
    <s v="5879 Susan Via Apt. 886, Sandovalbury, WV 61449"/>
    <x v="357"/>
    <d v="2024-07-01T00:00:00"/>
    <s v="05:54:36"/>
    <x v="48"/>
    <n v="107.47"/>
    <n v="3"/>
    <x v="2"/>
    <x v="2"/>
    <n v="4"/>
    <s v="Late_Delivery"/>
    <n v="63"/>
    <n v="7"/>
    <d v="2024-07-08T00:00:00"/>
    <s v="17:18:51"/>
    <m/>
    <n v="385.40999999999997"/>
    <n v="0"/>
    <n v="322.40999999999997"/>
    <n v="322.40999999999997"/>
  </r>
  <r>
    <s v="CID162"/>
    <x v="78"/>
    <s v="Mark"/>
    <s v="Summers"/>
    <n v="55"/>
    <x v="1"/>
    <x v="5"/>
    <s v="mark.summers@outlook.com"/>
    <s v="08413 Lynch Parkway, Calderonstad, NV 32697"/>
    <x v="358"/>
    <d v="2023-04-29T00:00:00"/>
    <s v="06:50:14"/>
    <x v="7"/>
    <n v="48.45"/>
    <n v="3"/>
    <x v="2"/>
    <x v="2"/>
    <n v="6"/>
    <s v="Before_time"/>
    <n v="58"/>
    <n v="1"/>
    <d v="2023-04-30T00:00:00"/>
    <s v="13:55:34"/>
    <m/>
    <n v="203.35000000000002"/>
    <n v="0"/>
    <n v="145.35000000000002"/>
    <n v="145.35000000000002"/>
  </r>
  <r>
    <s v="CID165"/>
    <x v="40"/>
    <s v="Mary"/>
    <s v="Knight"/>
    <n v="28"/>
    <x v="2"/>
    <x v="2"/>
    <s v="mary.knight@yahoo.com"/>
    <s v="907 Kimberly Hill, Murrayfort, NH 88384"/>
    <x v="359"/>
    <d v="2024-11-04T00:00:00"/>
    <s v="11:52:12"/>
    <x v="8"/>
    <n v="257.06"/>
    <n v="4"/>
    <x v="4"/>
    <x v="4"/>
    <n v="6"/>
    <s v="Before_time"/>
    <n v="69"/>
    <n v="3"/>
    <d v="2024-11-07T00:00:00"/>
    <s v="23:25:32"/>
    <m/>
    <n v="994.41600000000005"/>
    <n v="102.824"/>
    <n v="925.41600000000005"/>
    <n v="1028.24"/>
  </r>
  <r>
    <s v="CID174"/>
    <x v="53"/>
    <s v="Jodi"/>
    <s v="Whitney"/>
    <n v="33"/>
    <x v="2"/>
    <x v="6"/>
    <s v="jodi.whitney@yahoo.com"/>
    <s v="72876 Lara Key Suite 383, Gutierrezton, OR 71683"/>
    <x v="360"/>
    <d v="2024-09-18T00:00:00"/>
    <s v="19:37:21"/>
    <x v="39"/>
    <n v="403.03"/>
    <n v="4"/>
    <x v="4"/>
    <x v="4"/>
    <n v="7"/>
    <s v="Before_time"/>
    <n v="65"/>
    <n v="3"/>
    <d v="2024-09-21T00:00:00"/>
    <s v="03:13:08"/>
    <m/>
    <n v="1515.9079999999999"/>
    <n v="161.21199999999999"/>
    <n v="1450.9079999999999"/>
    <n v="1612.12"/>
  </r>
  <r>
    <s v="CID123"/>
    <x v="60"/>
    <s v="Christy"/>
    <s v="Chang"/>
    <n v="38"/>
    <x v="1"/>
    <x v="7"/>
    <s v="christy.chang@outlook.com"/>
    <s v="4647 Hannah Centers, Rhodesburgh, NH 89363"/>
    <x v="361"/>
    <d v="2023-05-13T00:00:00"/>
    <s v="15:34:31"/>
    <x v="7"/>
    <n v="48.45"/>
    <n v="1"/>
    <x v="4"/>
    <x v="4"/>
    <n v="2"/>
    <s v="Late_Delivery"/>
    <n v="41"/>
    <n v="3"/>
    <d v="2023-05-16T00:00:00"/>
    <s v="10:35:02"/>
    <m/>
    <n v="84.605000000000004"/>
    <n v="4.8449999999999998"/>
    <n v="43.605000000000004"/>
    <n v="48.45"/>
  </r>
  <r>
    <s v="CID183"/>
    <x v="61"/>
    <s v="Troy"/>
    <s v="Gomez"/>
    <n v="68"/>
    <x v="0"/>
    <x v="7"/>
    <s v="troy.gomez@outlook.com"/>
    <s v="7510 Jose Knolls, Candicechester, LA 62815"/>
    <x v="362"/>
    <d v="2023-03-22T00:00:00"/>
    <s v="14:35:45"/>
    <x v="29"/>
    <n v="44.5"/>
    <n v="5"/>
    <x v="4"/>
    <x v="4"/>
    <n v="4"/>
    <s v="Late_Delivery"/>
    <n v="55"/>
    <n v="5"/>
    <d v="2023-03-27T00:00:00"/>
    <s v="07:09:27"/>
    <m/>
    <n v="255.25"/>
    <n v="22.25"/>
    <n v="200.25"/>
    <n v="222.5"/>
  </r>
  <r>
    <s v="CID114"/>
    <x v="92"/>
    <s v="Lauren"/>
    <s v="Crane"/>
    <n v="62"/>
    <x v="1"/>
    <x v="1"/>
    <s v="lauren.crane@yahoo.com"/>
    <s v="30313 Reyes Parkways Suite 392, Port Bradley, SC 24078"/>
    <x v="363"/>
    <d v="2025-01-21T00:00:00"/>
    <s v="07:24:54"/>
    <x v="19"/>
    <n v="128.13999999999999"/>
    <n v="5"/>
    <x v="3"/>
    <x v="3"/>
    <n v="7"/>
    <s v="On_time"/>
    <n v="68"/>
    <n v="7"/>
    <d v="2025-01-28T00:00:00"/>
    <s v="03:15:28"/>
    <m/>
    <n v="580.55999999999995"/>
    <n v="128.13999999999999"/>
    <n v="512.55999999999995"/>
    <n v="640.69999999999993"/>
  </r>
  <r>
    <s v="CID194"/>
    <x v="67"/>
    <s v="Barbara"/>
    <s v="Fuller"/>
    <n v="43"/>
    <x v="2"/>
    <x v="5"/>
    <s v="barbara.fuller@rediffmail.com"/>
    <s v="134 Mcintosh Unions Suite 574, Lake Laura, DE 96577"/>
    <x v="364"/>
    <d v="2023-02-21T00:00:00"/>
    <s v="06:00:55"/>
    <x v="30"/>
    <n v="369.03"/>
    <n v="2"/>
    <x v="4"/>
    <x v="4"/>
    <n v="6"/>
    <s v="Before_time"/>
    <n v="55"/>
    <n v="3"/>
    <d v="2023-02-24T00:00:00"/>
    <s v="22:23:18"/>
    <m/>
    <n v="719.25400000000002"/>
    <n v="73.805999999999997"/>
    <n v="664.25400000000002"/>
    <n v="738.06"/>
  </r>
  <r>
    <s v="CID117"/>
    <x v="84"/>
    <s v="Hannah"/>
    <s v="Gutierrez"/>
    <n v="55"/>
    <x v="1"/>
    <x v="5"/>
    <s v="hannah.gutierrez@yahoo.com"/>
    <s v="2420 David Manors, Jessicaland, CT 41698"/>
    <x v="365"/>
    <d v="2024-05-09T00:00:00"/>
    <s v="05:46:53"/>
    <x v="8"/>
    <n v="257.06"/>
    <n v="1"/>
    <x v="3"/>
    <x v="3"/>
    <n v="4"/>
    <s v="Before_time"/>
    <n v="42"/>
    <n v="2"/>
    <d v="2024-05-11T00:00:00"/>
    <s v="01:30:58"/>
    <m/>
    <n v="247.64800000000002"/>
    <n v="51.411999999999999"/>
    <n v="205.64800000000002"/>
    <n v="257.06"/>
  </r>
  <r>
    <s v="CID168"/>
    <x v="17"/>
    <s v="Deborah"/>
    <s v="Bates"/>
    <n v="23"/>
    <x v="0"/>
    <x v="3"/>
    <s v="deborah.bates@yahoo.com"/>
    <s v="278 Kathy Estate, Saraville, OH 77292"/>
    <x v="366"/>
    <d v="2023-10-26T00:00:00"/>
    <s v="08:34:53"/>
    <x v="47"/>
    <n v="292.14999999999998"/>
    <n v="3"/>
    <x v="2"/>
    <x v="2"/>
    <n v="3"/>
    <s v="Before_time"/>
    <n v="51"/>
    <n v="2"/>
    <d v="2023-10-28T00:00:00"/>
    <s v="13:26:32"/>
    <m/>
    <n v="927.44999999999993"/>
    <n v="0"/>
    <n v="876.44999999999993"/>
    <n v="876.44999999999993"/>
  </r>
  <r>
    <s v="CID154"/>
    <x v="85"/>
    <s v="Angela"/>
    <s v="Casey"/>
    <n v="40"/>
    <x v="0"/>
    <x v="2"/>
    <s v="angela.casey@gmail.com"/>
    <s v="089 Farley Terrace, Thomashaven, MT 56607"/>
    <x v="367"/>
    <d v="2023-09-24T00:00:00"/>
    <s v="15:18:11"/>
    <x v="18"/>
    <n v="282.63"/>
    <n v="2"/>
    <x v="1"/>
    <x v="1"/>
    <n v="6"/>
    <s v="Before_time"/>
    <n v="62"/>
    <n v="1"/>
    <d v="2023-09-25T00:00:00"/>
    <s v="23:05:05"/>
    <m/>
    <n v="542.471"/>
    <n v="84.789000000000001"/>
    <n v="480.471"/>
    <n v="565.26"/>
  </r>
  <r>
    <s v="CID148"/>
    <x v="13"/>
    <s v="Erin"/>
    <s v="Miller"/>
    <n v="46"/>
    <x v="0"/>
    <x v="6"/>
    <s v="erin.miller@gmail.com"/>
    <s v="65972 Peterson Route, Port Andrewfurt, SD 32892"/>
    <x v="368"/>
    <d v="2024-06-30T00:00:00"/>
    <s v="11:00:03"/>
    <x v="12"/>
    <n v="272.51"/>
    <n v="3"/>
    <x v="0"/>
    <x v="0"/>
    <n v="5"/>
    <s v="Late_Delivery"/>
    <n v="66"/>
    <n v="6"/>
    <d v="2024-07-06T00:00:00"/>
    <s v="15:17:48"/>
    <m/>
    <n v="818.12760000000003"/>
    <n v="65.4024"/>
    <n v="752.12760000000003"/>
    <n v="817.53"/>
  </r>
  <r>
    <s v="CID135"/>
    <x v="39"/>
    <s v="Amanda"/>
    <s v="Howard"/>
    <n v="52"/>
    <x v="2"/>
    <x v="7"/>
    <s v="amanda.howard@outlook.com"/>
    <s v="56908 Sydney Park Suite 632, West Anthonyport, NC 15954"/>
    <x v="369"/>
    <d v="2023-02-18T00:00:00"/>
    <s v="08:26:50"/>
    <x v="4"/>
    <n v="330.11"/>
    <n v="2"/>
    <x v="2"/>
    <x v="2"/>
    <n v="3"/>
    <s v="Before_time"/>
    <n v="55"/>
    <n v="1"/>
    <d v="2023-02-19T00:00:00"/>
    <s v="19:28:55"/>
    <m/>
    <n v="715.22"/>
    <n v="0"/>
    <n v="660.22"/>
    <n v="660.22"/>
  </r>
  <r>
    <s v="CID176"/>
    <x v="12"/>
    <s v="Joshua"/>
    <s v="Campbell"/>
    <n v="24"/>
    <x v="0"/>
    <x v="5"/>
    <s v="joshua.campbell@gmail.com"/>
    <s v="70426 Lindsey Overpass Apt. 030, Jessicafurt, AR 46269"/>
    <x v="370"/>
    <d v="2024-07-12T00:00:00"/>
    <s v="00:24:43"/>
    <x v="16"/>
    <n v="132.97"/>
    <n v="2"/>
    <x v="1"/>
    <x v="1"/>
    <n v="4"/>
    <s v="Before_time"/>
    <n v="40"/>
    <n v="2"/>
    <d v="2024-07-14T00:00:00"/>
    <s v="08:45:35"/>
    <m/>
    <n v="266.04899999999998"/>
    <n v="39.890999999999998"/>
    <n v="226.04899999999998"/>
    <n v="265.94"/>
  </r>
  <r>
    <s v="CID192"/>
    <x v="52"/>
    <s v="Brandon"/>
    <s v="Cruz"/>
    <n v="32"/>
    <x v="2"/>
    <x v="3"/>
    <s v="brandon.cruz@gmail.com"/>
    <s v="9296 Villanueva Branch, East Kevin, CO 93912"/>
    <x v="371"/>
    <d v="2023-03-21T00:00:00"/>
    <s v="10:05:03"/>
    <x v="32"/>
    <n v="87.09"/>
    <n v="2"/>
    <x v="2"/>
    <x v="2"/>
    <n v="4"/>
    <s v="On_time"/>
    <n v="67"/>
    <n v="4"/>
    <d v="2023-03-25T00:00:00"/>
    <s v="10:06:44"/>
    <m/>
    <n v="241.18"/>
    <n v="0"/>
    <n v="174.18"/>
    <n v="174.18"/>
  </r>
  <r>
    <s v="CID121"/>
    <x v="30"/>
    <s v="Julie"/>
    <s v="Meyer"/>
    <n v="23"/>
    <x v="0"/>
    <x v="0"/>
    <s v="julie.meyer@yahoo.com"/>
    <s v="17381 Smith Ramp Suite 398, Courtneyville, AL 17756"/>
    <x v="372"/>
    <d v="2024-11-26T00:00:00"/>
    <s v="04:19:31"/>
    <x v="48"/>
    <n v="107.47"/>
    <n v="5"/>
    <x v="0"/>
    <x v="0"/>
    <n v="4"/>
    <s v="Late_Delivery"/>
    <n v="37"/>
    <n v="6"/>
    <d v="2024-12-02T00:00:00"/>
    <s v="17:52:11"/>
    <m/>
    <n v="531.36200000000008"/>
    <n v="42.988"/>
    <n v="494.36200000000002"/>
    <n v="537.35"/>
  </r>
  <r>
    <s v="CID185"/>
    <x v="66"/>
    <s v="Melissa"/>
    <s v="Levy"/>
    <n v="30"/>
    <x v="0"/>
    <x v="5"/>
    <s v="melissa.levy@rediffmail.com"/>
    <s v="3303 Kennedy Springs Suite 830, East Amybury, MI 95595"/>
    <x v="373"/>
    <d v="2024-05-05T00:00:00"/>
    <s v="17:14:37"/>
    <x v="48"/>
    <n v="107.47"/>
    <n v="5"/>
    <x v="4"/>
    <x v="4"/>
    <n v="4"/>
    <s v="Late_Delivery"/>
    <n v="47"/>
    <n v="7"/>
    <d v="2024-05-12T00:00:00"/>
    <s v="12:54:21"/>
    <m/>
    <n v="530.61500000000001"/>
    <n v="53.734999999999999"/>
    <n v="483.61500000000001"/>
    <n v="537.35"/>
  </r>
  <r>
    <s v="CID140"/>
    <x v="59"/>
    <s v="Beth"/>
    <s v="Mason"/>
    <n v="45"/>
    <x v="2"/>
    <x v="3"/>
    <s v="beth.mason@outlook.com"/>
    <s v="58998 Sherry Haven, East Richard, FL 90775"/>
    <x v="374"/>
    <d v="2024-06-03T00:00:00"/>
    <s v="18:45:41"/>
    <x v="37"/>
    <n v="133.62"/>
    <n v="1"/>
    <x v="1"/>
    <x v="1"/>
    <n v="5"/>
    <s v="On_time"/>
    <n v="39"/>
    <n v="5"/>
    <d v="2024-06-08T00:00:00"/>
    <s v="21:20:42"/>
    <m/>
    <n v="152.577"/>
    <n v="20.043000000000003"/>
    <n v="113.577"/>
    <n v="133.62"/>
  </r>
  <r>
    <s v="CID165"/>
    <x v="40"/>
    <s v="Mary"/>
    <s v="Knight"/>
    <n v="28"/>
    <x v="2"/>
    <x v="2"/>
    <s v="mary.knight@yahoo.com"/>
    <s v="907 Kimberly Hill, Murrayfort, NH 88384"/>
    <x v="375"/>
    <d v="2023-11-17T00:00:00"/>
    <s v="23:43:28"/>
    <x v="6"/>
    <n v="275.44"/>
    <n v="2"/>
    <x v="3"/>
    <x v="3"/>
    <n v="3"/>
    <s v="Late_Delivery"/>
    <n v="43"/>
    <n v="4"/>
    <d v="2023-11-21T00:00:00"/>
    <s v="12:35:16"/>
    <m/>
    <n v="483.70400000000001"/>
    <n v="110.176"/>
    <n v="440.70400000000001"/>
    <n v="550.88"/>
  </r>
  <r>
    <s v="CID109"/>
    <x v="75"/>
    <s v="Rachael"/>
    <s v="Robinson"/>
    <n v="24"/>
    <x v="2"/>
    <x v="7"/>
    <s v="rachael.robinson@rediffmail.com"/>
    <s v="0889 Brady Points, Port Meganhaven, NM 26553"/>
    <x v="376"/>
    <d v="2023-07-06T00:00:00"/>
    <s v="06:38:04"/>
    <x v="4"/>
    <n v="330.11"/>
    <n v="3"/>
    <x v="1"/>
    <x v="1"/>
    <n v="2"/>
    <s v="Late_Delivery"/>
    <n v="56"/>
    <n v="4"/>
    <d v="2023-07-10T00:00:00"/>
    <s v="08:13:41"/>
    <m/>
    <n v="897.78049999999996"/>
    <n v="148.54949999999999"/>
    <n v="841.78049999999996"/>
    <n v="990.33"/>
  </r>
  <r>
    <s v="CID165"/>
    <x v="40"/>
    <s v="Mary"/>
    <s v="Knight"/>
    <n v="28"/>
    <x v="2"/>
    <x v="2"/>
    <s v="mary.knight@yahoo.com"/>
    <s v="907 Kimberly Hill, Murrayfort, NH 88384"/>
    <x v="377"/>
    <d v="2024-01-16T00:00:00"/>
    <s v="12:27:25"/>
    <x v="12"/>
    <n v="272.51"/>
    <n v="3"/>
    <x v="0"/>
    <x v="0"/>
    <n v="6"/>
    <s v="Before_time"/>
    <n v="44"/>
    <n v="3"/>
    <d v="2024-01-19T00:00:00"/>
    <s v="23:59:41"/>
    <m/>
    <n v="796.12760000000003"/>
    <n v="65.4024"/>
    <n v="752.12760000000003"/>
    <n v="817.53"/>
  </r>
  <r>
    <s v="CID156"/>
    <x v="63"/>
    <s v="Gregory"/>
    <s v="Lee"/>
    <n v="26"/>
    <x v="2"/>
    <x v="2"/>
    <s v="gregory.lee@rediffmail.com"/>
    <s v="619 Parker Turnpike Apt. 025, West Brucehaven, ID 48437"/>
    <x v="378"/>
    <d v="2023-11-08T00:00:00"/>
    <s v="10:41:43"/>
    <x v="9"/>
    <n v="175.93"/>
    <n v="4"/>
    <x v="3"/>
    <x v="3"/>
    <n v="6"/>
    <s v="Before_time"/>
    <n v="54"/>
    <n v="2"/>
    <d v="2023-11-10T00:00:00"/>
    <s v="19:20:26"/>
    <m/>
    <n v="616.976"/>
    <n v="140.74400000000003"/>
    <n v="562.976"/>
    <n v="703.72"/>
  </r>
  <r>
    <s v="CID114"/>
    <x v="92"/>
    <s v="Lauren"/>
    <s v="Crane"/>
    <n v="62"/>
    <x v="1"/>
    <x v="1"/>
    <s v="lauren.crane@yahoo.com"/>
    <s v="30313 Reyes Parkways Suite 392, Port Bradley, SC 24078"/>
    <x v="379"/>
    <d v="2024-06-16T00:00:00"/>
    <s v="09:19:53"/>
    <x v="30"/>
    <n v="369.03"/>
    <n v="3"/>
    <x v="0"/>
    <x v="0"/>
    <n v="6"/>
    <s v="Before_time"/>
    <n v="57"/>
    <n v="2"/>
    <d v="2024-06-18T00:00:00"/>
    <s v="14:30:24"/>
    <m/>
    <n v="1075.5228"/>
    <n v="88.5672"/>
    <n v="1018.5228"/>
    <n v="1107.0899999999999"/>
  </r>
  <r>
    <s v="CID157"/>
    <x v="89"/>
    <s v="Sarah"/>
    <s v="Benson"/>
    <n v="40"/>
    <x v="2"/>
    <x v="7"/>
    <s v="sarah.benson@outlook.com"/>
    <s v="5399 Hayes Well, West Pennystad, IL 93798"/>
    <x v="380"/>
    <d v="2023-04-24T00:00:00"/>
    <s v="11:38:36"/>
    <x v="26"/>
    <n v="372.62"/>
    <n v="2"/>
    <x v="3"/>
    <x v="3"/>
    <n v="2"/>
    <s v="Before_time"/>
    <n v="47"/>
    <n v="1"/>
    <d v="2023-04-25T00:00:00"/>
    <s v="21:12:03"/>
    <m/>
    <n v="643.19200000000001"/>
    <n v="149.048"/>
    <n v="596.19200000000001"/>
    <n v="745.24"/>
  </r>
  <r>
    <s v="CID133"/>
    <x v="31"/>
    <s v="Donna"/>
    <s v="Oneill"/>
    <n v="70"/>
    <x v="0"/>
    <x v="6"/>
    <s v="donna.oneill@yahoo.com"/>
    <s v="464 Carolyn Crest Suite 738, Lake Isaiah, CA 66153"/>
    <x v="381"/>
    <d v="2023-12-10T00:00:00"/>
    <s v="10:33:52"/>
    <x v="29"/>
    <n v="44.5"/>
    <n v="1"/>
    <x v="2"/>
    <x v="2"/>
    <n v="1"/>
    <s v="Late_Delivery"/>
    <n v="37"/>
    <n v="7"/>
    <d v="2023-12-17T00:00:00"/>
    <s v="11:21:30"/>
    <m/>
    <n v="81.5"/>
    <n v="0"/>
    <n v="44.5"/>
    <n v="44.5"/>
  </r>
  <r>
    <s v="CID134"/>
    <x v="45"/>
    <s v="Debra"/>
    <s v="Hayes"/>
    <n v="33"/>
    <x v="0"/>
    <x v="6"/>
    <s v="debra.hayes@yahoo.com"/>
    <s v="4601 Miller Lock, Williamsbury, IA 10943"/>
    <x v="382"/>
    <d v="2023-05-14T00:00:00"/>
    <s v="22:42:39"/>
    <x v="21"/>
    <n v="157.63999999999999"/>
    <n v="1"/>
    <x v="4"/>
    <x v="4"/>
    <n v="7"/>
    <s v="On_time"/>
    <n v="48"/>
    <n v="7"/>
    <d v="2023-05-21T00:00:00"/>
    <s v="23:12:16"/>
    <m/>
    <n v="189.876"/>
    <n v="15.763999999999999"/>
    <n v="141.876"/>
    <n v="157.63999999999999"/>
  </r>
  <r>
    <s v="CID128"/>
    <x v="16"/>
    <s v="Traci"/>
    <s v="Jones"/>
    <n v="34"/>
    <x v="0"/>
    <x v="3"/>
    <s v="traci.jones@yahoo.com"/>
    <s v="4016 Ryan Passage, Collinsside, PA 88777"/>
    <x v="383"/>
    <d v="2023-11-13T00:00:00"/>
    <s v="09:31:29"/>
    <x v="14"/>
    <n v="20.7"/>
    <n v="3"/>
    <x v="0"/>
    <x v="0"/>
    <n v="5"/>
    <s v="Before_time"/>
    <n v="46"/>
    <n v="2"/>
    <d v="2023-11-15T00:00:00"/>
    <s v="07:20:39"/>
    <m/>
    <n v="103.13200000000001"/>
    <n v="4.968"/>
    <n v="57.131999999999998"/>
    <n v="62.099999999999994"/>
  </r>
  <r>
    <s v="CID118"/>
    <x v="58"/>
    <s v="Amy"/>
    <s v="Ellis"/>
    <n v="44"/>
    <x v="2"/>
    <x v="3"/>
    <s v="amy.ellis@gmail.com"/>
    <s v="217 Scott Ville, Christophermouth, NH 83776"/>
    <x v="384"/>
    <d v="2023-12-04T00:00:00"/>
    <s v="09:19:46"/>
    <x v="19"/>
    <n v="128.13999999999999"/>
    <n v="3"/>
    <x v="3"/>
    <x v="3"/>
    <n v="2"/>
    <s v="Late_Delivery"/>
    <n v="49"/>
    <n v="6"/>
    <d v="2023-12-10T00:00:00"/>
    <s v="02:07:12"/>
    <m/>
    <n v="356.536"/>
    <n v="76.884"/>
    <n v="307.536"/>
    <n v="384.41999999999996"/>
  </r>
  <r>
    <s v="CID140"/>
    <x v="59"/>
    <s v="Beth"/>
    <s v="Mason"/>
    <n v="45"/>
    <x v="2"/>
    <x v="3"/>
    <s v="beth.mason@outlook.com"/>
    <s v="58998 Sherry Haven, East Richard, FL 90775"/>
    <x v="385"/>
    <d v="2024-04-22T00:00:00"/>
    <s v="21:14:38"/>
    <x v="21"/>
    <n v="157.63999999999999"/>
    <n v="3"/>
    <x v="0"/>
    <x v="0"/>
    <n v="4"/>
    <s v="Before_time"/>
    <n v="66"/>
    <n v="1"/>
    <d v="2024-04-23T00:00:00"/>
    <s v="11:28:09"/>
    <m/>
    <n v="501.08639999999997"/>
    <n v="37.833599999999997"/>
    <n v="435.08639999999997"/>
    <n v="472.91999999999996"/>
  </r>
  <r>
    <s v="CID150"/>
    <x v="1"/>
    <s v="Anthony"/>
    <s v="Thomas"/>
    <n v="53"/>
    <x v="1"/>
    <x v="1"/>
    <s v="anthony.thomas@rediffmail.com"/>
    <s v="931 Christopher Ways Suite 833, North Michelle, IN 53484"/>
    <x v="386"/>
    <d v="2024-06-26T00:00:00"/>
    <s v="15:58:53"/>
    <x v="26"/>
    <n v="372.62"/>
    <n v="1"/>
    <x v="4"/>
    <x v="4"/>
    <n v="1"/>
    <s v="Late_Delivery"/>
    <n v="66"/>
    <n v="2"/>
    <d v="2024-06-28T00:00:00"/>
    <s v="14:14:53"/>
    <m/>
    <n v="401.358"/>
    <n v="37.262"/>
    <n v="335.358"/>
    <n v="372.62"/>
  </r>
  <r>
    <s v="CID114"/>
    <x v="92"/>
    <s v="Lauren"/>
    <s v="Crane"/>
    <n v="62"/>
    <x v="1"/>
    <x v="1"/>
    <s v="lauren.crane@yahoo.com"/>
    <s v="30313 Reyes Parkways Suite 392, Port Bradley, SC 24078"/>
    <x v="387"/>
    <d v="2023-07-09T00:00:00"/>
    <s v="17:44:01"/>
    <x v="5"/>
    <n v="363.64"/>
    <n v="4"/>
    <x v="2"/>
    <x v="2"/>
    <n v="6"/>
    <s v="Before_time"/>
    <n v="56"/>
    <n v="5"/>
    <d v="2023-07-14T00:00:00"/>
    <s v="16:03:33"/>
    <m/>
    <n v="1510.56"/>
    <n v="0"/>
    <n v="1454.56"/>
    <n v="1454.56"/>
  </r>
  <r>
    <s v="CID158"/>
    <x v="21"/>
    <s v="Angela"/>
    <s v="Evans"/>
    <n v="52"/>
    <x v="2"/>
    <x v="1"/>
    <s v="angela.evans@outlook.com"/>
    <s v="16031 David Mountain Suite 431, Susanborough, PA 01910"/>
    <x v="388"/>
    <d v="2024-04-15T00:00:00"/>
    <s v="02:54:23"/>
    <x v="31"/>
    <n v="286.07"/>
    <n v="5"/>
    <x v="2"/>
    <x v="2"/>
    <n v="1"/>
    <s v="Late_Delivery"/>
    <n v="41"/>
    <n v="7"/>
    <d v="2024-04-22T00:00:00"/>
    <s v="18:15:03"/>
    <m/>
    <n v="1471.35"/>
    <n v="0"/>
    <n v="1430.35"/>
    <n v="1430.35"/>
  </r>
  <r>
    <s v="CID174"/>
    <x v="53"/>
    <s v="Jodi"/>
    <s v="Whitney"/>
    <n v="33"/>
    <x v="2"/>
    <x v="6"/>
    <s v="jodi.whitney@yahoo.com"/>
    <s v="72876 Lara Key Suite 383, Gutierrezton, OR 71683"/>
    <x v="389"/>
    <d v="2024-01-11T00:00:00"/>
    <s v="07:05:11"/>
    <x v="18"/>
    <n v="282.63"/>
    <n v="3"/>
    <x v="2"/>
    <x v="2"/>
    <n v="4"/>
    <s v="Late_Delivery"/>
    <n v="66"/>
    <n v="5"/>
    <d v="2024-01-16T00:00:00"/>
    <s v="14:16:13"/>
    <m/>
    <n v="913.89"/>
    <n v="0"/>
    <n v="847.89"/>
    <n v="847.89"/>
  </r>
  <r>
    <s v="CID164"/>
    <x v="90"/>
    <s v="Lauren"/>
    <s v="Lane"/>
    <n v="30"/>
    <x v="0"/>
    <x v="7"/>
    <s v="lauren.lane@gmail.com"/>
    <s v="56985 Sergio Extensions, Port Albert, CO 02898"/>
    <x v="390"/>
    <d v="2024-03-10T00:00:00"/>
    <s v="02:16:10"/>
    <x v="26"/>
    <n v="372.62"/>
    <n v="5"/>
    <x v="0"/>
    <x v="0"/>
    <n v="4"/>
    <s v="Before_time"/>
    <n v="66"/>
    <n v="3"/>
    <d v="2024-03-13T00:00:00"/>
    <s v="06:31:20"/>
    <m/>
    <n v="1780.0519999999999"/>
    <n v="149.048"/>
    <n v="1714.0519999999999"/>
    <n v="1863.1"/>
  </r>
  <r>
    <s v="CID137"/>
    <x v="14"/>
    <s v="Gina"/>
    <s v="Moreno"/>
    <n v="36"/>
    <x v="2"/>
    <x v="4"/>
    <s v="gina.moreno@rediffmail.com"/>
    <s v="USS Murray, FPO AP 66559"/>
    <x v="391"/>
    <d v="2023-06-14T00:00:00"/>
    <s v="18:34:02"/>
    <x v="43"/>
    <n v="424.82"/>
    <n v="4"/>
    <x v="4"/>
    <x v="4"/>
    <n v="5"/>
    <s v="Late_Delivery"/>
    <n v="58"/>
    <n v="7"/>
    <d v="2023-06-21T00:00:00"/>
    <s v="13:27:30"/>
    <m/>
    <n v="1587.3520000000001"/>
    <n v="169.928"/>
    <n v="1529.3520000000001"/>
    <n v="1699.28"/>
  </r>
  <r>
    <s v="CID181"/>
    <x v="37"/>
    <s v="Alexandra"/>
    <s v="Smith"/>
    <n v="70"/>
    <x v="0"/>
    <x v="0"/>
    <s v="alexandra.smith@rediffmail.com"/>
    <s v="48611 Clark Village, West Anne, GA 92865"/>
    <x v="392"/>
    <d v="2023-09-03T00:00:00"/>
    <s v="14:35:39"/>
    <x v="33"/>
    <n v="421.7"/>
    <n v="3"/>
    <x v="2"/>
    <x v="2"/>
    <n v="3"/>
    <s v="Late_Delivery"/>
    <n v="56"/>
    <n v="5"/>
    <d v="2023-09-08T00:00:00"/>
    <s v="17:37:51"/>
    <m/>
    <n v="1321.1"/>
    <n v="0"/>
    <n v="1265.0999999999999"/>
    <n v="1265.0999999999999"/>
  </r>
  <r>
    <s v="CID170"/>
    <x v="64"/>
    <s v="Bruce"/>
    <s v="Allen"/>
    <n v="32"/>
    <x v="1"/>
    <x v="0"/>
    <s v="bruce.allen@rediffmail.com"/>
    <s v="2417 Brown Ford, West Timothyside, RI 45629"/>
    <x v="393"/>
    <d v="2024-02-21T00:00:00"/>
    <s v="02:52:20"/>
    <x v="47"/>
    <n v="292.14999999999998"/>
    <n v="2"/>
    <x v="1"/>
    <x v="1"/>
    <n v="6"/>
    <s v="Before_time"/>
    <n v="60"/>
    <n v="5"/>
    <d v="2024-02-26T00:00:00"/>
    <s v="04:02:49"/>
    <m/>
    <n v="556.65499999999997"/>
    <n v="87.644999999999996"/>
    <n v="496.65499999999997"/>
    <n v="584.29999999999995"/>
  </r>
  <r>
    <s v="CID163"/>
    <x v="19"/>
    <s v="Mark"/>
    <s v="Henderson"/>
    <n v="33"/>
    <x v="2"/>
    <x v="7"/>
    <s v="mark.henderson@yahoo.com"/>
    <s v="90155 Hines Spring, North Theresafurt, ME 31920"/>
    <x v="394"/>
    <d v="2024-12-31T00:00:00"/>
    <s v="10:33:07"/>
    <x v="26"/>
    <n v="372.62"/>
    <n v="1"/>
    <x v="1"/>
    <x v="1"/>
    <n v="5"/>
    <s v="Before_time"/>
    <n v="50"/>
    <n v="4"/>
    <d v="2025-01-04T00:00:00"/>
    <s v="06:32:27"/>
    <m/>
    <n v="366.72699999999998"/>
    <n v="55.893000000000001"/>
    <n v="316.72699999999998"/>
    <n v="372.62"/>
  </r>
  <r>
    <s v="CID114"/>
    <x v="92"/>
    <s v="Lauren"/>
    <s v="Crane"/>
    <n v="62"/>
    <x v="1"/>
    <x v="1"/>
    <s v="lauren.crane@yahoo.com"/>
    <s v="30313 Reyes Parkways Suite 392, Port Bradley, SC 24078"/>
    <x v="395"/>
    <d v="2024-02-18T00:00:00"/>
    <s v="01:25:50"/>
    <x v="7"/>
    <n v="48.45"/>
    <n v="3"/>
    <x v="1"/>
    <x v="1"/>
    <n v="5"/>
    <s v="Late_Delivery"/>
    <n v="42"/>
    <n v="7"/>
    <d v="2024-02-25T00:00:00"/>
    <s v="18:04:09"/>
    <m/>
    <n v="165.54750000000001"/>
    <n v="21.802500000000006"/>
    <n v="123.54750000000001"/>
    <n v="145.35000000000002"/>
  </r>
  <r>
    <s v="CID123"/>
    <x v="60"/>
    <s v="Christy"/>
    <s v="Chang"/>
    <n v="38"/>
    <x v="1"/>
    <x v="7"/>
    <s v="christy.chang@outlook.com"/>
    <s v="4647 Hannah Centers, Rhodesburgh, NH 89363"/>
    <x v="396"/>
    <d v="2024-01-21T00:00:00"/>
    <s v="20:10:30"/>
    <x v="10"/>
    <n v="190.1"/>
    <n v="3"/>
    <x v="4"/>
    <x v="4"/>
    <n v="3"/>
    <s v="On_time"/>
    <n v="41"/>
    <n v="3"/>
    <d v="2024-01-24T00:00:00"/>
    <s v="15:08:52"/>
    <m/>
    <n v="554.27"/>
    <n v="57.03"/>
    <n v="513.27"/>
    <n v="570.29999999999995"/>
  </r>
  <r>
    <s v="CID114"/>
    <x v="92"/>
    <s v="Lauren"/>
    <s v="Crane"/>
    <n v="62"/>
    <x v="1"/>
    <x v="1"/>
    <s v="lauren.crane@yahoo.com"/>
    <s v="30313 Reyes Parkways Suite 392, Port Bradley, SC 24078"/>
    <x v="397"/>
    <d v="2024-02-22T00:00:00"/>
    <s v="03:46:35"/>
    <x v="15"/>
    <n v="461.07"/>
    <n v="4"/>
    <x v="1"/>
    <x v="1"/>
    <n v="1"/>
    <s v="Late_Delivery"/>
    <n v="66"/>
    <n v="2"/>
    <d v="2024-02-24T00:00:00"/>
    <s v="11:20:17"/>
    <m/>
    <n v="1633.6379999999999"/>
    <n v="276.642"/>
    <n v="1567.6379999999999"/>
    <n v="1844.28"/>
  </r>
  <r>
    <s v="CID155"/>
    <x v="29"/>
    <s v="Courtney"/>
    <s v="Parker"/>
    <n v="29"/>
    <x v="2"/>
    <x v="3"/>
    <s v="courtney.parker@yahoo.com"/>
    <s v="087 Jacqueline Rue Apt. 694, East Tasha, SC 04859"/>
    <x v="398"/>
    <d v="2024-01-04T00:00:00"/>
    <s v="00:31:47"/>
    <x v="21"/>
    <n v="157.63999999999999"/>
    <n v="5"/>
    <x v="0"/>
    <x v="0"/>
    <n v="2"/>
    <s v="Late_Delivery"/>
    <n v="46"/>
    <n v="6"/>
    <d v="2024-01-10T00:00:00"/>
    <s v="11:06:01"/>
    <m/>
    <n v="771.14400000000001"/>
    <n v="63.055999999999997"/>
    <n v="725.14400000000001"/>
    <n v="788.19999999999993"/>
  </r>
  <r>
    <s v="CID168"/>
    <x v="17"/>
    <s v="Deborah"/>
    <s v="Bates"/>
    <n v="23"/>
    <x v="0"/>
    <x v="3"/>
    <s v="deborah.bates@yahoo.com"/>
    <s v="278 Kathy Estate, Saraville, OH 77292"/>
    <x v="399"/>
    <d v="2024-07-04T00:00:00"/>
    <s v="04:04:19"/>
    <x v="40"/>
    <n v="445.81"/>
    <n v="3"/>
    <x v="0"/>
    <x v="0"/>
    <n v="1"/>
    <s v="On_time"/>
    <n v="37"/>
    <n v="1"/>
    <d v="2024-07-05T00:00:00"/>
    <s v="00:48:55"/>
    <m/>
    <n v="1267.4356"/>
    <n v="106.9944"/>
    <n v="1230.4356"/>
    <n v="1337.43"/>
  </r>
  <r>
    <s v="CID110"/>
    <x v="93"/>
    <s v="Katie"/>
    <s v="Hicks"/>
    <n v="34"/>
    <x v="2"/>
    <x v="5"/>
    <s v="katie.hicks@rediffmail.com"/>
    <s v="848 William Port, New Marilyn, SD 58000"/>
    <x v="400"/>
    <d v="2024-12-20T00:00:00"/>
    <s v="07:13:46"/>
    <x v="24"/>
    <n v="481.48"/>
    <n v="4"/>
    <x v="1"/>
    <x v="1"/>
    <n v="4"/>
    <s v="Before_time"/>
    <n v="38"/>
    <n v="1"/>
    <d v="2024-12-21T00:00:00"/>
    <s v="09:05:57"/>
    <m/>
    <n v="1675.0319999999999"/>
    <n v="288.88800000000003"/>
    <n v="1637.0319999999999"/>
    <n v="1925.92"/>
  </r>
  <r>
    <s v="CID187"/>
    <x v="36"/>
    <s v="Jason"/>
    <s v="Lopez"/>
    <n v="40"/>
    <x v="2"/>
    <x v="6"/>
    <s v="jason.lopez@outlook.com"/>
    <s v="934 Levine View, Brentport, NE 38210"/>
    <x v="401"/>
    <d v="2023-04-17T00:00:00"/>
    <s v="21:07:18"/>
    <x v="37"/>
    <n v="133.62"/>
    <n v="1"/>
    <x v="1"/>
    <x v="1"/>
    <n v="5"/>
    <s v="Before_time"/>
    <n v="66"/>
    <n v="4"/>
    <d v="2023-04-21T00:00:00"/>
    <s v="00:38:35"/>
    <m/>
    <n v="179.577"/>
    <n v="20.043000000000003"/>
    <n v="113.577"/>
    <n v="133.62"/>
  </r>
  <r>
    <s v="CID196"/>
    <x v="94"/>
    <s v="Regina"/>
    <s v="Hawkins"/>
    <n v="47"/>
    <x v="1"/>
    <x v="0"/>
    <s v="regina.hawkins@rediffmail.com"/>
    <s v="096 Santos Neck Apt. 937, Benjaminmouth, FL 61454"/>
    <x v="402"/>
    <d v="2024-02-05T00:00:00"/>
    <s v="13:31:33"/>
    <x v="36"/>
    <n v="425.59"/>
    <n v="3"/>
    <x v="4"/>
    <x v="4"/>
    <n v="7"/>
    <s v="Before_time"/>
    <n v="51"/>
    <n v="3"/>
    <d v="2024-02-08T00:00:00"/>
    <s v="02:03:42"/>
    <m/>
    <n v="1200.0930000000001"/>
    <n v="127.67700000000001"/>
    <n v="1149.0930000000001"/>
    <n v="1276.77"/>
  </r>
  <r>
    <s v="CID114"/>
    <x v="92"/>
    <s v="Lauren"/>
    <s v="Crane"/>
    <n v="62"/>
    <x v="1"/>
    <x v="1"/>
    <s v="lauren.crane@yahoo.com"/>
    <s v="30313 Reyes Parkways Suite 392, Port Bradley, SC 24078"/>
    <x v="403"/>
    <d v="2024-08-13T00:00:00"/>
    <s v="00:57:10"/>
    <x v="38"/>
    <n v="477.52"/>
    <n v="5"/>
    <x v="3"/>
    <x v="3"/>
    <n v="2"/>
    <s v="Late_Delivery"/>
    <n v="60"/>
    <n v="3"/>
    <d v="2024-08-16T00:00:00"/>
    <s v="03:55:32"/>
    <m/>
    <n v="1970.08"/>
    <n v="477.52"/>
    <n v="1910.08"/>
    <n v="2387.6"/>
  </r>
  <r>
    <s v="CID135"/>
    <x v="39"/>
    <s v="Amanda"/>
    <s v="Howard"/>
    <n v="52"/>
    <x v="2"/>
    <x v="7"/>
    <s v="amanda.howard@outlook.com"/>
    <s v="56908 Sydney Park Suite 632, West Anthonyport, NC 15954"/>
    <x v="404"/>
    <d v="2024-06-28T00:00:00"/>
    <s v="00:07:15"/>
    <x v="18"/>
    <n v="282.63"/>
    <n v="3"/>
    <x v="0"/>
    <x v="0"/>
    <n v="3"/>
    <s v="Late_Delivery"/>
    <n v="36"/>
    <n v="7"/>
    <d v="2024-07-05T00:00:00"/>
    <s v="06:30:27"/>
    <m/>
    <n v="816.05880000000002"/>
    <n v="67.831199999999995"/>
    <n v="780.05880000000002"/>
    <n v="847.89"/>
  </r>
  <r>
    <s v="CID165"/>
    <x v="40"/>
    <s v="Mary"/>
    <s v="Knight"/>
    <n v="28"/>
    <x v="2"/>
    <x v="2"/>
    <s v="mary.knight@yahoo.com"/>
    <s v="907 Kimberly Hill, Murrayfort, NH 88384"/>
    <x v="405"/>
    <d v="2024-02-28T00:00:00"/>
    <s v="08:47:14"/>
    <x v="21"/>
    <n v="157.63999999999999"/>
    <n v="1"/>
    <x v="3"/>
    <x v="3"/>
    <n v="1"/>
    <s v="Late_Delivery"/>
    <n v="59"/>
    <n v="6"/>
    <d v="2024-03-05T00:00:00"/>
    <s v="19:25:43"/>
    <m/>
    <n v="185.11199999999999"/>
    <n v="31.527999999999999"/>
    <n v="126.11199999999999"/>
    <n v="157.63999999999999"/>
  </r>
  <r>
    <s v="CID110"/>
    <x v="93"/>
    <s v="Katie"/>
    <s v="Hicks"/>
    <n v="34"/>
    <x v="2"/>
    <x v="5"/>
    <s v="katie.hicks@rediffmail.com"/>
    <s v="848 William Port, New Marilyn, SD 58000"/>
    <x v="406"/>
    <d v="2024-06-06T00:00:00"/>
    <s v="12:05:04"/>
    <x v="7"/>
    <n v="48.45"/>
    <n v="1"/>
    <x v="4"/>
    <x v="4"/>
    <n v="5"/>
    <s v="Late_Delivery"/>
    <n v="38"/>
    <n v="7"/>
    <d v="2024-06-13T00:00:00"/>
    <s v="18:05:47"/>
    <m/>
    <n v="81.605000000000004"/>
    <n v="4.8449999999999998"/>
    <n v="43.605000000000004"/>
    <n v="48.45"/>
  </r>
  <r>
    <s v="CID198"/>
    <x v="5"/>
    <s v="David"/>
    <s v="Delacruz"/>
    <n v="26"/>
    <x v="1"/>
    <x v="3"/>
    <s v="david.delacruz@rediffmail.com"/>
    <s v="USNS Ray, FPO AE 20238"/>
    <x v="407"/>
    <d v="2024-03-08T00:00:00"/>
    <s v="05:45:27"/>
    <x v="47"/>
    <n v="292.14999999999998"/>
    <n v="1"/>
    <x v="3"/>
    <x v="3"/>
    <n v="5"/>
    <s v="Late_Delivery"/>
    <n v="57"/>
    <n v="6"/>
    <d v="2024-03-14T00:00:00"/>
    <s v="16:20:46"/>
    <m/>
    <n v="290.72000000000003"/>
    <n v="58.43"/>
    <n v="233.72"/>
    <n v="292.14999999999998"/>
  </r>
  <r>
    <s v="CID177"/>
    <x v="95"/>
    <s v="Rachel"/>
    <s v="Lopez"/>
    <n v="57"/>
    <x v="1"/>
    <x v="3"/>
    <s v="rachel.lopez@outlook.com"/>
    <s v="90435 Bonnie Points Suite 886, Jenniferfurt, WV 20187"/>
    <x v="408"/>
    <d v="2024-02-11T00:00:00"/>
    <s v="18:27:35"/>
    <x v="46"/>
    <n v="20"/>
    <n v="4"/>
    <x v="3"/>
    <x v="3"/>
    <n v="1"/>
    <s v="On_time"/>
    <n v="51"/>
    <n v="1"/>
    <d v="2024-02-12T00:00:00"/>
    <s v="15:09:01"/>
    <m/>
    <n v="115"/>
    <n v="16"/>
    <n v="64"/>
    <n v="80"/>
  </r>
  <r>
    <s v="CID119"/>
    <x v="74"/>
    <s v="Amy"/>
    <s v="Griffin"/>
    <n v="29"/>
    <x v="0"/>
    <x v="1"/>
    <s v="amy.griffin@rediffmail.com"/>
    <s v="07350 Aaron Meadow Suite 138, Kiaraberg, AL 79545"/>
    <x v="409"/>
    <d v="2025-01-24T00:00:00"/>
    <s v="08:19:07"/>
    <x v="7"/>
    <n v="48.45"/>
    <n v="2"/>
    <x v="1"/>
    <x v="1"/>
    <n v="7"/>
    <s v="Before_time"/>
    <n v="56"/>
    <n v="6"/>
    <d v="2025-01-30T00:00:00"/>
    <s v="03:55:26"/>
    <m/>
    <n v="138.36500000000001"/>
    <n v="14.535"/>
    <n v="82.365000000000009"/>
    <n v="96.9"/>
  </r>
  <r>
    <s v="CID140"/>
    <x v="59"/>
    <s v="Beth"/>
    <s v="Mason"/>
    <n v="45"/>
    <x v="2"/>
    <x v="3"/>
    <s v="beth.mason@outlook.com"/>
    <s v="58998 Sherry Haven, East Richard, FL 90775"/>
    <x v="410"/>
    <d v="2023-09-21T00:00:00"/>
    <s v="01:16:23"/>
    <x v="17"/>
    <n v="126.19"/>
    <n v="2"/>
    <x v="3"/>
    <x v="3"/>
    <n v="4"/>
    <s v="Late_Delivery"/>
    <n v="67"/>
    <n v="6"/>
    <d v="2023-09-27T00:00:00"/>
    <s v="21:24:42"/>
    <m/>
    <n v="268.904"/>
    <n v="50.476000000000006"/>
    <n v="201.904"/>
    <n v="252.38"/>
  </r>
  <r>
    <s v="CID164"/>
    <x v="90"/>
    <s v="Lauren"/>
    <s v="Lane"/>
    <n v="30"/>
    <x v="0"/>
    <x v="7"/>
    <s v="lauren.lane@gmail.com"/>
    <s v="56985 Sergio Extensions, Port Albert, CO 02898"/>
    <x v="411"/>
    <d v="2024-04-11T00:00:00"/>
    <s v="07:59:11"/>
    <x v="17"/>
    <n v="126.19"/>
    <n v="4"/>
    <x v="0"/>
    <x v="0"/>
    <n v="5"/>
    <s v="Before_time"/>
    <n v="69"/>
    <n v="3"/>
    <d v="2024-04-14T00:00:00"/>
    <s v="05:33:08"/>
    <m/>
    <n v="533.37920000000008"/>
    <n v="40.380800000000001"/>
    <n v="464.37920000000003"/>
    <n v="504.76"/>
  </r>
  <r>
    <s v="CID161"/>
    <x v="26"/>
    <s v="Heather"/>
    <s v="Schneider"/>
    <n v="48"/>
    <x v="1"/>
    <x v="3"/>
    <s v="heather.schneider@outlook.com"/>
    <s v="57940 Susan Creek Apt. 541, Port Aliciamouth, OR 90221"/>
    <x v="412"/>
    <d v="2024-04-17T00:00:00"/>
    <s v="02:05:06"/>
    <x v="27"/>
    <n v="496.59"/>
    <n v="3"/>
    <x v="2"/>
    <x v="2"/>
    <n v="3"/>
    <s v="Late_Delivery"/>
    <n v="49"/>
    <n v="7"/>
    <d v="2024-04-24T00:00:00"/>
    <s v="02:03:44"/>
    <m/>
    <n v="1538.77"/>
    <n v="0"/>
    <n v="1489.77"/>
    <n v="1489.77"/>
  </r>
  <r>
    <s v="CID133"/>
    <x v="31"/>
    <s v="Donna"/>
    <s v="Oneill"/>
    <n v="70"/>
    <x v="0"/>
    <x v="6"/>
    <s v="donna.oneill@yahoo.com"/>
    <s v="464 Carolyn Crest Suite 738, Lake Isaiah, CA 66153"/>
    <x v="413"/>
    <d v="2024-04-14T00:00:00"/>
    <s v="08:18:15"/>
    <x v="43"/>
    <n v="424.82"/>
    <n v="4"/>
    <x v="1"/>
    <x v="1"/>
    <n v="1"/>
    <s v="Late_Delivery"/>
    <n v="70"/>
    <n v="6"/>
    <d v="2024-04-20T00:00:00"/>
    <s v="08:36:13"/>
    <m/>
    <n v="1514.3879999999999"/>
    <n v="254.892"/>
    <n v="1444.3879999999999"/>
    <n v="1699.28"/>
  </r>
  <r>
    <s v="CID137"/>
    <x v="14"/>
    <s v="Gina"/>
    <s v="Moreno"/>
    <n v="36"/>
    <x v="2"/>
    <x v="4"/>
    <s v="gina.moreno@rediffmail.com"/>
    <s v="USS Murray, FPO AP 66559"/>
    <x v="414"/>
    <d v="2023-09-25T00:00:00"/>
    <s v="12:10:36"/>
    <x v="46"/>
    <n v="20"/>
    <n v="2"/>
    <x v="4"/>
    <x v="4"/>
    <n v="1"/>
    <s v="On_time"/>
    <n v="68"/>
    <n v="1"/>
    <d v="2023-09-26T00:00:00"/>
    <s v="23:31:23"/>
    <m/>
    <n v="104"/>
    <n v="4"/>
    <n v="36"/>
    <n v="40"/>
  </r>
  <r>
    <s v="CID196"/>
    <x v="94"/>
    <s v="Regina"/>
    <s v="Hawkins"/>
    <n v="47"/>
    <x v="1"/>
    <x v="0"/>
    <s v="regina.hawkins@rediffmail.com"/>
    <s v="096 Santos Neck Apt. 937, Benjaminmouth, FL 61454"/>
    <x v="415"/>
    <d v="2023-10-17T00:00:00"/>
    <s v="00:38:36"/>
    <x v="2"/>
    <n v="202.54"/>
    <n v="5"/>
    <x v="4"/>
    <x v="4"/>
    <n v="4"/>
    <s v="Before_time"/>
    <n v="58"/>
    <n v="2"/>
    <d v="2023-10-19T00:00:00"/>
    <s v="20:13:27"/>
    <m/>
    <n v="969.43"/>
    <n v="101.27"/>
    <n v="911.43"/>
    <n v="1012.6999999999999"/>
  </r>
  <r>
    <s v="CID137"/>
    <x v="14"/>
    <s v="Gina"/>
    <s v="Moreno"/>
    <n v="36"/>
    <x v="2"/>
    <x v="4"/>
    <s v="gina.moreno@rediffmail.com"/>
    <s v="USS Murray, FPO AP 66559"/>
    <x v="416"/>
    <d v="2024-03-17T00:00:00"/>
    <s v="02:46:16"/>
    <x v="34"/>
    <n v="136.30000000000001"/>
    <n v="4"/>
    <x v="0"/>
    <x v="0"/>
    <n v="6"/>
    <s v="Before_time"/>
    <n v="52"/>
    <n v="3"/>
    <d v="2024-03-20T00:00:00"/>
    <s v="09:28:52"/>
    <m/>
    <n v="553.58400000000006"/>
    <n v="43.616000000000007"/>
    <n v="501.58400000000006"/>
    <n v="545.20000000000005"/>
  </r>
  <r>
    <s v="CID130"/>
    <x v="7"/>
    <s v="Debra"/>
    <s v="Rodriguez"/>
    <n v="48"/>
    <x v="2"/>
    <x v="1"/>
    <s v="debra.rodriguez@rediffmail.com"/>
    <s v="Unit 5964 Box 0721, DPO AP 01840"/>
    <x v="417"/>
    <d v="2025-01-04T00:00:00"/>
    <s v="21:06:59"/>
    <x v="21"/>
    <n v="157.63999999999999"/>
    <n v="4"/>
    <x v="2"/>
    <x v="2"/>
    <n v="7"/>
    <s v="Before_time"/>
    <n v="42"/>
    <n v="2"/>
    <d v="2025-01-06T00:00:00"/>
    <s v="07:58:32"/>
    <m/>
    <n v="672.56"/>
    <n v="0"/>
    <n v="630.55999999999995"/>
    <n v="630.55999999999995"/>
  </r>
  <r>
    <s v="CID195"/>
    <x v="49"/>
    <s v="Sarah"/>
    <s v="Butler"/>
    <n v="64"/>
    <x v="0"/>
    <x v="0"/>
    <s v="sarah.butler@rediffmail.com"/>
    <s v="14131 Edwin Shore Apt. 190, Deniseberg, MD 90905"/>
    <x v="418"/>
    <d v="2023-08-09T00:00:00"/>
    <s v="05:37:55"/>
    <x v="48"/>
    <n v="107.47"/>
    <n v="5"/>
    <x v="3"/>
    <x v="3"/>
    <n v="6"/>
    <s v="Before_time"/>
    <n v="47"/>
    <n v="2"/>
    <d v="2023-08-11T00:00:00"/>
    <s v="12:11:43"/>
    <m/>
    <n v="476.88000000000005"/>
    <n v="107.47"/>
    <n v="429.88000000000005"/>
    <n v="537.35"/>
  </r>
  <r>
    <s v="CID132"/>
    <x v="33"/>
    <s v="Timothy"/>
    <s v="Hicks"/>
    <n v="31"/>
    <x v="2"/>
    <x v="4"/>
    <s v="timothy.hicks@gmail.com"/>
    <s v="140 Tracy Fields, Lake Cynthiaton, TX 57190"/>
    <x v="419"/>
    <d v="2024-12-27T00:00:00"/>
    <s v="01:03:02"/>
    <x v="19"/>
    <n v="128.13999999999999"/>
    <n v="1"/>
    <x v="2"/>
    <x v="2"/>
    <n v="3"/>
    <s v="Before_time"/>
    <n v="55"/>
    <n v="2"/>
    <d v="2024-12-29T00:00:00"/>
    <s v="08:40:48"/>
    <m/>
    <n v="183.14"/>
    <n v="0"/>
    <n v="128.13999999999999"/>
    <n v="128.13999999999999"/>
  </r>
  <r>
    <s v="CID174"/>
    <x v="53"/>
    <s v="Jodi"/>
    <s v="Whitney"/>
    <n v="33"/>
    <x v="2"/>
    <x v="6"/>
    <s v="jodi.whitney@yahoo.com"/>
    <s v="72876 Lara Key Suite 383, Gutierrezton, OR 71683"/>
    <x v="420"/>
    <d v="2024-02-29T00:00:00"/>
    <s v="18:12:36"/>
    <x v="36"/>
    <n v="425.59"/>
    <n v="2"/>
    <x v="4"/>
    <x v="4"/>
    <n v="4"/>
    <s v="Late_Delivery"/>
    <n v="64"/>
    <n v="7"/>
    <d v="2024-03-07T00:00:00"/>
    <s v="04:54:21"/>
    <m/>
    <n v="830.06200000000001"/>
    <n v="85.117999999999995"/>
    <n v="766.06200000000001"/>
    <n v="851.18"/>
  </r>
  <r>
    <s v="CID181"/>
    <x v="37"/>
    <s v="Alexandra"/>
    <s v="Smith"/>
    <n v="70"/>
    <x v="0"/>
    <x v="0"/>
    <s v="alexandra.smith@rediffmail.com"/>
    <s v="48611 Clark Village, West Anne, GA 92865"/>
    <x v="421"/>
    <d v="2024-11-26T00:00:00"/>
    <s v="15:52:52"/>
    <x v="49"/>
    <n v="33.49"/>
    <n v="5"/>
    <x v="3"/>
    <x v="3"/>
    <n v="5"/>
    <s v="Late_Delivery"/>
    <n v="64"/>
    <n v="6"/>
    <d v="2024-12-02T00:00:00"/>
    <s v="22:30:31"/>
    <m/>
    <n v="197.96"/>
    <n v="33.49"/>
    <n v="133.96"/>
    <n v="167.45000000000002"/>
  </r>
  <r>
    <s v="CID158"/>
    <x v="21"/>
    <s v="Angela"/>
    <s v="Evans"/>
    <n v="52"/>
    <x v="2"/>
    <x v="1"/>
    <s v="angela.evans@outlook.com"/>
    <s v="16031 David Mountain Suite 431, Susanborough, PA 01910"/>
    <x v="422"/>
    <d v="2023-12-09T00:00:00"/>
    <s v="11:10:43"/>
    <x v="42"/>
    <n v="235.63"/>
    <n v="1"/>
    <x v="2"/>
    <x v="2"/>
    <n v="6"/>
    <s v="Before_time"/>
    <n v="35"/>
    <n v="3"/>
    <d v="2023-12-12T00:00:00"/>
    <s v="14:43:30"/>
    <m/>
    <n v="270.63"/>
    <n v="0"/>
    <n v="235.63"/>
    <n v="235.63"/>
  </r>
  <r>
    <s v="CID164"/>
    <x v="90"/>
    <s v="Lauren"/>
    <s v="Lane"/>
    <n v="30"/>
    <x v="0"/>
    <x v="7"/>
    <s v="lauren.lane@gmail.com"/>
    <s v="56985 Sergio Extensions, Port Albert, CO 02898"/>
    <x v="423"/>
    <d v="2025-02-07T00:00:00"/>
    <s v="10:50:23"/>
    <x v="46"/>
    <n v="20"/>
    <n v="3"/>
    <x v="4"/>
    <x v="4"/>
    <n v="7"/>
    <s v="Before_time"/>
    <n v="65"/>
    <n v="6"/>
    <d v="2025-02-13T00:00:00"/>
    <s v="10:39:52"/>
    <m/>
    <n v="119"/>
    <n v="6"/>
    <n v="54"/>
    <n v="60"/>
  </r>
  <r>
    <s v="CID185"/>
    <x v="66"/>
    <s v="Melissa"/>
    <s v="Levy"/>
    <n v="30"/>
    <x v="0"/>
    <x v="5"/>
    <s v="melissa.levy@rediffmail.com"/>
    <s v="3303 Kennedy Springs Suite 830, East Amybury, MI 95595"/>
    <x v="424"/>
    <d v="2024-10-22T00:00:00"/>
    <s v="12:04:15"/>
    <x v="49"/>
    <n v="33.49"/>
    <n v="5"/>
    <x v="3"/>
    <x v="3"/>
    <n v="2"/>
    <s v="On_time"/>
    <n v="58"/>
    <n v="2"/>
    <d v="2024-10-24T00:00:00"/>
    <s v="05:18:08"/>
    <m/>
    <n v="191.96"/>
    <n v="33.49"/>
    <n v="133.96"/>
    <n v="167.45000000000002"/>
  </r>
  <r>
    <s v="CID140"/>
    <x v="59"/>
    <s v="Beth"/>
    <s v="Mason"/>
    <n v="45"/>
    <x v="2"/>
    <x v="3"/>
    <s v="beth.mason@outlook.com"/>
    <s v="58998 Sherry Haven, East Richard, FL 90775"/>
    <x v="425"/>
    <d v="2023-03-02T00:00:00"/>
    <s v="02:36:45"/>
    <x v="34"/>
    <n v="136.30000000000001"/>
    <n v="1"/>
    <x v="0"/>
    <x v="0"/>
    <n v="4"/>
    <s v="Before_time"/>
    <n v="41"/>
    <n v="1"/>
    <d v="2023-03-03T00:00:00"/>
    <s v="14:57:01"/>
    <m/>
    <n v="166.39600000000002"/>
    <n v="10.904000000000002"/>
    <n v="125.39600000000002"/>
    <n v="136.30000000000001"/>
  </r>
  <r>
    <s v="CID106"/>
    <x v="96"/>
    <s v="Scott"/>
    <s v="Jones"/>
    <n v="29"/>
    <x v="2"/>
    <x v="3"/>
    <s v="scott.jones@yahoo.com"/>
    <s v="086 Kristin Manor Apt. 829, Marissabury, CT 12152"/>
    <x v="426"/>
    <d v="2024-09-02T00:00:00"/>
    <s v="02:29:46"/>
    <x v="20"/>
    <n v="62.42"/>
    <n v="1"/>
    <x v="0"/>
    <x v="0"/>
    <n v="3"/>
    <s v="Late_Delivery"/>
    <n v="48"/>
    <n v="5"/>
    <d v="2024-09-07T00:00:00"/>
    <s v="13:28:57"/>
    <m/>
    <n v="105.4264"/>
    <n v="4.9935999999999998"/>
    <n v="57.426400000000001"/>
    <n v="62.42"/>
  </r>
  <r>
    <s v="CID175"/>
    <x v="50"/>
    <s v="Katherine"/>
    <s v="Weber"/>
    <n v="42"/>
    <x v="2"/>
    <x v="2"/>
    <s v="katherine.weber@outlook.com"/>
    <s v="04887 Kimberly Union Apt. 645, Port Laura, IL 97219"/>
    <x v="427"/>
    <d v="2024-12-20T00:00:00"/>
    <s v="03:00:01"/>
    <x v="36"/>
    <n v="425.59"/>
    <n v="5"/>
    <x v="2"/>
    <x v="2"/>
    <n v="5"/>
    <s v="Late_Delivery"/>
    <n v="47"/>
    <n v="6"/>
    <d v="2024-12-26T00:00:00"/>
    <s v="06:03:03"/>
    <m/>
    <n v="2174.9499999999998"/>
    <n v="0"/>
    <n v="2127.9499999999998"/>
    <n v="2127.9499999999998"/>
  </r>
  <r>
    <s v="CID128"/>
    <x v="16"/>
    <s v="Traci"/>
    <s v="Jones"/>
    <n v="34"/>
    <x v="0"/>
    <x v="3"/>
    <s v="traci.jones@yahoo.com"/>
    <s v="4016 Ryan Passage, Collinsside, PA 88777"/>
    <x v="428"/>
    <d v="2024-07-31T00:00:00"/>
    <s v="01:12:34"/>
    <x v="48"/>
    <n v="107.47"/>
    <n v="5"/>
    <x v="4"/>
    <x v="4"/>
    <n v="5"/>
    <s v="Before_time"/>
    <n v="48"/>
    <n v="1"/>
    <d v="2024-08-01T00:00:00"/>
    <s v="10:01:43"/>
    <m/>
    <n v="531.61500000000001"/>
    <n v="53.734999999999999"/>
    <n v="483.61500000000001"/>
    <n v="537.35"/>
  </r>
  <r>
    <s v="CID172"/>
    <x v="10"/>
    <s v="Kara"/>
    <s v="Brennan"/>
    <n v="25"/>
    <x v="2"/>
    <x v="4"/>
    <s v="kara.brennan@outlook.com"/>
    <s v="2174 Thomas Avenue, Maciasborough, NJ 41465"/>
    <x v="429"/>
    <d v="2023-12-11T00:00:00"/>
    <s v="16:46:34"/>
    <x v="21"/>
    <n v="157.63999999999999"/>
    <n v="2"/>
    <x v="2"/>
    <x v="2"/>
    <n v="5"/>
    <s v="Late_Delivery"/>
    <n v="57"/>
    <n v="6"/>
    <d v="2023-12-17T00:00:00"/>
    <s v="04:45:34"/>
    <m/>
    <n v="372.28"/>
    <n v="0"/>
    <n v="315.27999999999997"/>
    <n v="315.27999999999997"/>
  </r>
  <r>
    <s v="CID132"/>
    <x v="33"/>
    <s v="Timothy"/>
    <s v="Hicks"/>
    <n v="31"/>
    <x v="2"/>
    <x v="4"/>
    <s v="timothy.hicks@gmail.com"/>
    <s v="140 Tracy Fields, Lake Cynthiaton, TX 57190"/>
    <x v="430"/>
    <d v="2024-04-16T00:00:00"/>
    <s v="12:40:06"/>
    <x v="36"/>
    <n v="425.59"/>
    <n v="2"/>
    <x v="1"/>
    <x v="1"/>
    <n v="1"/>
    <s v="Late_Delivery"/>
    <n v="44"/>
    <n v="5"/>
    <d v="2024-04-21T00:00:00"/>
    <s v="03:46:12"/>
    <m/>
    <n v="767.50299999999993"/>
    <n v="127.67699999999999"/>
    <n v="723.50299999999993"/>
    <n v="851.18"/>
  </r>
  <r>
    <s v="CID194"/>
    <x v="67"/>
    <s v="Barbara"/>
    <s v="Fuller"/>
    <n v="43"/>
    <x v="2"/>
    <x v="5"/>
    <s v="barbara.fuller@rediffmail.com"/>
    <s v="134 Mcintosh Unions Suite 574, Lake Laura, DE 96577"/>
    <x v="431"/>
    <d v="2024-05-20T00:00:00"/>
    <s v="21:41:18"/>
    <x v="15"/>
    <n v="461.07"/>
    <n v="1"/>
    <x v="0"/>
    <x v="0"/>
    <n v="1"/>
    <s v="On_time"/>
    <n v="42"/>
    <n v="1"/>
    <d v="2024-05-21T00:00:00"/>
    <s v="21:10:12"/>
    <m/>
    <n v="466.18440000000004"/>
    <n v="36.885599999999997"/>
    <n v="424.18440000000004"/>
    <n v="461.07"/>
  </r>
  <r>
    <s v="CID198"/>
    <x v="5"/>
    <s v="David"/>
    <s v="Delacruz"/>
    <n v="26"/>
    <x v="1"/>
    <x v="3"/>
    <s v="david.delacruz@rediffmail.com"/>
    <s v="USNS Ray, FPO AE 20238"/>
    <x v="432"/>
    <d v="2024-06-06T00:00:00"/>
    <s v="18:51:12"/>
    <x v="42"/>
    <n v="235.63"/>
    <n v="1"/>
    <x v="1"/>
    <x v="1"/>
    <n v="3"/>
    <s v="Late_Delivery"/>
    <n v="55"/>
    <n v="6"/>
    <d v="2024-06-12T00:00:00"/>
    <s v="01:58:20"/>
    <m/>
    <n v="255.28549999999998"/>
    <n v="35.344499999999996"/>
    <n v="200.28549999999998"/>
    <n v="235.63"/>
  </r>
  <r>
    <s v="CID125"/>
    <x v="56"/>
    <s v="Kelli"/>
    <s v="Smith"/>
    <n v="18"/>
    <x v="1"/>
    <x v="1"/>
    <s v="kelli.smith@rediffmail.com"/>
    <s v="788 Kristina Lane, Montoyaside, VA 90756"/>
    <x v="433"/>
    <d v="2023-09-09T00:00:00"/>
    <s v="16:35:28"/>
    <x v="37"/>
    <n v="133.62"/>
    <n v="2"/>
    <x v="0"/>
    <x v="0"/>
    <n v="2"/>
    <s v="Late_Delivery"/>
    <n v="48"/>
    <n v="6"/>
    <d v="2023-09-15T00:00:00"/>
    <s v="07:06:38"/>
    <m/>
    <n v="293.86080000000004"/>
    <n v="21.379200000000001"/>
    <n v="245.86080000000001"/>
    <n v="267.24"/>
  </r>
  <r>
    <s v="CID117"/>
    <x v="84"/>
    <s v="Hannah"/>
    <s v="Gutierrez"/>
    <n v="55"/>
    <x v="1"/>
    <x v="5"/>
    <s v="hannah.gutierrez@yahoo.com"/>
    <s v="2420 David Manors, Jessicaland, CT 41698"/>
    <x v="434"/>
    <d v="2023-03-20T00:00:00"/>
    <s v="15:11:02"/>
    <x v="13"/>
    <n v="104.18"/>
    <n v="1"/>
    <x v="0"/>
    <x v="0"/>
    <n v="5"/>
    <s v="Before_time"/>
    <n v="37"/>
    <n v="2"/>
    <d v="2023-03-22T00:00:00"/>
    <s v="14:16:59"/>
    <m/>
    <n v="132.84559999999999"/>
    <n v="8.3344000000000005"/>
    <n v="95.845600000000005"/>
    <n v="104.18"/>
  </r>
  <r>
    <s v="CID183"/>
    <x v="61"/>
    <s v="Troy"/>
    <s v="Gomez"/>
    <n v="68"/>
    <x v="0"/>
    <x v="7"/>
    <s v="troy.gomez@outlook.com"/>
    <s v="7510 Jose Knolls, Candicechester, LA 62815"/>
    <x v="435"/>
    <d v="2024-09-01T00:00:00"/>
    <s v="08:03:37"/>
    <x v="5"/>
    <n v="363.64"/>
    <n v="4"/>
    <x v="3"/>
    <x v="3"/>
    <n v="2"/>
    <s v="Late_Delivery"/>
    <n v="42"/>
    <n v="4"/>
    <d v="2024-09-05T00:00:00"/>
    <s v="13:50:58"/>
    <m/>
    <n v="1205.6479999999999"/>
    <n v="290.91199999999998"/>
    <n v="1163.6479999999999"/>
    <n v="1454.56"/>
  </r>
  <r>
    <s v="CID161"/>
    <x v="26"/>
    <s v="Heather"/>
    <s v="Schneider"/>
    <n v="48"/>
    <x v="1"/>
    <x v="3"/>
    <s v="heather.schneider@outlook.com"/>
    <s v="57940 Susan Creek Apt. 541, Port Aliciamouth, OR 90221"/>
    <x v="436"/>
    <d v="2024-01-19T00:00:00"/>
    <s v="04:43:46"/>
    <x v="11"/>
    <n v="220.27"/>
    <n v="2"/>
    <x v="1"/>
    <x v="1"/>
    <n v="7"/>
    <s v="On_time"/>
    <n v="42"/>
    <n v="7"/>
    <d v="2024-01-26T00:00:00"/>
    <s v="01:46:40"/>
    <m/>
    <n v="416.459"/>
    <n v="66.081000000000003"/>
    <n v="374.459"/>
    <n v="440.54"/>
  </r>
  <r>
    <s v="CID143"/>
    <x v="62"/>
    <s v="Kim"/>
    <s v="Blevins"/>
    <n v="65"/>
    <x v="1"/>
    <x v="3"/>
    <s v="kim.blevins@outlook.com"/>
    <s v="089 Rice Shoal Suite 491, Juarezmouth, MI 88715"/>
    <x v="437"/>
    <d v="2023-08-29T00:00:00"/>
    <s v="21:09:31"/>
    <x v="49"/>
    <n v="33.49"/>
    <n v="3"/>
    <x v="4"/>
    <x v="4"/>
    <n v="1"/>
    <s v="Late_Delivery"/>
    <n v="50"/>
    <n v="5"/>
    <d v="2023-09-03T00:00:00"/>
    <s v="06:09:19"/>
    <m/>
    <n v="140.423"/>
    <n v="10.047000000000001"/>
    <n v="90.423000000000002"/>
    <n v="100.47"/>
  </r>
  <r>
    <s v="CID133"/>
    <x v="31"/>
    <s v="Donna"/>
    <s v="Oneill"/>
    <n v="70"/>
    <x v="0"/>
    <x v="6"/>
    <s v="donna.oneill@yahoo.com"/>
    <s v="464 Carolyn Crest Suite 738, Lake Isaiah, CA 66153"/>
    <x v="438"/>
    <d v="2023-08-07T00:00:00"/>
    <s v="01:04:28"/>
    <x v="21"/>
    <n v="157.63999999999999"/>
    <n v="2"/>
    <x v="4"/>
    <x v="4"/>
    <n v="6"/>
    <s v="Before_time"/>
    <n v="65"/>
    <n v="3"/>
    <d v="2023-08-10T00:00:00"/>
    <s v="16:40:55"/>
    <m/>
    <n v="348.75200000000001"/>
    <n v="31.527999999999999"/>
    <n v="283.75200000000001"/>
    <n v="315.27999999999997"/>
  </r>
  <r>
    <s v="CID148"/>
    <x v="13"/>
    <s v="Erin"/>
    <s v="Miller"/>
    <n v="46"/>
    <x v="0"/>
    <x v="6"/>
    <s v="erin.miller@gmail.com"/>
    <s v="65972 Peterson Route, Port Andrewfurt, SD 32892"/>
    <x v="439"/>
    <d v="2023-03-25T00:00:00"/>
    <s v="15:06:18"/>
    <x v="35"/>
    <n v="441.03"/>
    <n v="5"/>
    <x v="3"/>
    <x v="3"/>
    <n v="7"/>
    <s v="Before_time"/>
    <n v="36"/>
    <n v="6"/>
    <d v="2023-03-31T00:00:00"/>
    <s v="03:50:06"/>
    <m/>
    <n v="1800.12"/>
    <n v="441.02999999999992"/>
    <n v="1764.12"/>
    <n v="2205.1499999999996"/>
  </r>
  <r>
    <s v="CID174"/>
    <x v="53"/>
    <s v="Jodi"/>
    <s v="Whitney"/>
    <n v="33"/>
    <x v="2"/>
    <x v="6"/>
    <s v="jodi.whitney@yahoo.com"/>
    <s v="72876 Lara Key Suite 383, Gutierrezton, OR 71683"/>
    <x v="440"/>
    <d v="2024-12-02T00:00:00"/>
    <s v="15:43:42"/>
    <x v="30"/>
    <n v="369.03"/>
    <n v="4"/>
    <x v="0"/>
    <x v="0"/>
    <n v="5"/>
    <s v="Before_time"/>
    <n v="48"/>
    <n v="1"/>
    <d v="2024-12-03T00:00:00"/>
    <s v="15:41:25"/>
    <m/>
    <n v="1406.0303999999999"/>
    <n v="118.08959999999999"/>
    <n v="1358.0303999999999"/>
    <n v="1476.12"/>
  </r>
  <r>
    <s v="CID184"/>
    <x v="35"/>
    <s v="Aaron"/>
    <s v="Thompson"/>
    <n v="47"/>
    <x v="1"/>
    <x v="3"/>
    <s v="aaron.thompson@gmail.com"/>
    <s v="PSC 0550, Box 2737, APO AE 75772"/>
    <x v="441"/>
    <d v="2024-08-25T00:00:00"/>
    <s v="21:05:38"/>
    <x v="23"/>
    <n v="129.75"/>
    <n v="2"/>
    <x v="3"/>
    <x v="3"/>
    <n v="5"/>
    <s v="Before_time"/>
    <n v="47"/>
    <n v="3"/>
    <d v="2024-08-28T00:00:00"/>
    <s v="17:28:07"/>
    <m/>
    <n v="254.60000000000002"/>
    <n v="51.9"/>
    <n v="207.60000000000002"/>
    <n v="259.5"/>
  </r>
  <r>
    <s v="CID154"/>
    <x v="85"/>
    <s v="Angela"/>
    <s v="Casey"/>
    <n v="40"/>
    <x v="0"/>
    <x v="2"/>
    <s v="angela.casey@gmail.com"/>
    <s v="089 Farley Terrace, Thomashaven, MT 56607"/>
    <x v="442"/>
    <d v="2023-09-06T00:00:00"/>
    <s v="16:01:40"/>
    <x v="14"/>
    <n v="20.7"/>
    <n v="2"/>
    <x v="0"/>
    <x v="0"/>
    <n v="5"/>
    <s v="Before_time"/>
    <n v="61"/>
    <n v="2"/>
    <d v="2023-09-08T00:00:00"/>
    <s v="02:24:54"/>
    <m/>
    <n v="99.087999999999994"/>
    <n v="3.3119999999999998"/>
    <n v="38.088000000000001"/>
    <n v="41.4"/>
  </r>
  <r>
    <s v="CID107"/>
    <x v="65"/>
    <s v="Lisa"/>
    <s v="Miller"/>
    <n v="70"/>
    <x v="1"/>
    <x v="3"/>
    <s v="lisa.miller@gmail.com"/>
    <s v="89748 Campbell Drive, South Tannerland, WI 13143"/>
    <x v="443"/>
    <d v="2024-03-28T00:00:00"/>
    <s v="13:25:17"/>
    <x v="26"/>
    <n v="372.62"/>
    <n v="2"/>
    <x v="4"/>
    <x v="4"/>
    <n v="4"/>
    <s v="Before_time"/>
    <n v="57"/>
    <n v="3"/>
    <d v="2024-03-31T00:00:00"/>
    <s v="13:52:42"/>
    <m/>
    <n v="727.71600000000001"/>
    <n v="74.524000000000001"/>
    <n v="670.71600000000001"/>
    <n v="745.24"/>
  </r>
  <r>
    <s v="CID197"/>
    <x v="97"/>
    <s v="Gary"/>
    <s v="Jacobs"/>
    <n v="64"/>
    <x v="1"/>
    <x v="2"/>
    <s v="gary.jacobs@gmail.com"/>
    <s v="USNV Williams, FPO AP 23197"/>
    <x v="444"/>
    <d v="2024-12-07T00:00:00"/>
    <s v="07:19:13"/>
    <x v="48"/>
    <n v="107.47"/>
    <n v="4"/>
    <x v="3"/>
    <x v="3"/>
    <n v="5"/>
    <s v="Before_time"/>
    <n v="42"/>
    <n v="4"/>
    <d v="2024-12-11T00:00:00"/>
    <s v="04:47:20"/>
    <m/>
    <n v="385.904"/>
    <n v="85.975999999999999"/>
    <n v="343.904"/>
    <n v="429.88"/>
  </r>
  <r>
    <s v="CID197"/>
    <x v="97"/>
    <s v="Gary"/>
    <s v="Jacobs"/>
    <n v="64"/>
    <x v="1"/>
    <x v="2"/>
    <s v="gary.jacobs@gmail.com"/>
    <s v="USNV Williams, FPO AP 23197"/>
    <x v="445"/>
    <d v="2024-09-04T00:00:00"/>
    <s v="11:30:19"/>
    <x v="0"/>
    <n v="308.88"/>
    <n v="2"/>
    <x v="3"/>
    <x v="3"/>
    <n v="2"/>
    <s v="On_time"/>
    <n v="55"/>
    <n v="2"/>
    <d v="2024-09-06T00:00:00"/>
    <s v="02:44:11"/>
    <m/>
    <n v="549.20800000000008"/>
    <n v="123.55200000000001"/>
    <n v="494.20800000000003"/>
    <n v="617.76"/>
  </r>
  <r>
    <s v="CID150"/>
    <x v="1"/>
    <s v="Anthony"/>
    <s v="Thomas"/>
    <n v="53"/>
    <x v="1"/>
    <x v="1"/>
    <s v="anthony.thomas@rediffmail.com"/>
    <s v="931 Christopher Ways Suite 833, North Michelle, IN 53484"/>
    <x v="446"/>
    <d v="2025-01-27T00:00:00"/>
    <s v="03:51:26"/>
    <x v="20"/>
    <n v="62.42"/>
    <n v="5"/>
    <x v="1"/>
    <x v="1"/>
    <n v="6"/>
    <s v="On_time"/>
    <n v="69"/>
    <n v="6"/>
    <d v="2025-02-02T00:00:00"/>
    <s v="12:59:30"/>
    <m/>
    <n v="334.28500000000003"/>
    <n v="46.814999999999998"/>
    <n v="265.28500000000003"/>
    <n v="312.10000000000002"/>
  </r>
  <r>
    <s v="CID114"/>
    <x v="92"/>
    <s v="Lauren"/>
    <s v="Crane"/>
    <n v="62"/>
    <x v="1"/>
    <x v="1"/>
    <s v="lauren.crane@yahoo.com"/>
    <s v="30313 Reyes Parkways Suite 392, Port Bradley, SC 24078"/>
    <x v="447"/>
    <d v="2024-05-17T00:00:00"/>
    <s v="15:44:41"/>
    <x v="31"/>
    <n v="286.07"/>
    <n v="1"/>
    <x v="2"/>
    <x v="2"/>
    <n v="4"/>
    <s v="Late_Delivery"/>
    <n v="43"/>
    <n v="5"/>
    <d v="2024-05-22T00:00:00"/>
    <s v="03:08:53"/>
    <m/>
    <n v="329.07"/>
    <n v="0"/>
    <n v="286.07"/>
    <n v="286.07"/>
  </r>
  <r>
    <s v="CID197"/>
    <x v="97"/>
    <s v="Gary"/>
    <s v="Jacobs"/>
    <n v="64"/>
    <x v="1"/>
    <x v="2"/>
    <s v="gary.jacobs@gmail.com"/>
    <s v="USNV Williams, FPO AP 23197"/>
    <x v="448"/>
    <d v="2024-03-28T00:00:00"/>
    <s v="02:29:08"/>
    <x v="1"/>
    <n v="166.28"/>
    <n v="2"/>
    <x v="3"/>
    <x v="3"/>
    <n v="4"/>
    <s v="Late_Delivery"/>
    <n v="40"/>
    <n v="5"/>
    <d v="2024-04-02T00:00:00"/>
    <s v="01:57:29"/>
    <m/>
    <n v="306.048"/>
    <n v="66.512"/>
    <n v="266.048"/>
    <n v="332.56"/>
  </r>
  <r>
    <s v="CID144"/>
    <x v="55"/>
    <s v="William"/>
    <s v="Mann"/>
    <n v="21"/>
    <x v="0"/>
    <x v="1"/>
    <s v="william.mann@yahoo.com"/>
    <s v="849 Tran Wells, New Lindsayville, WI 22669"/>
    <x v="449"/>
    <d v="2024-12-12T00:00:00"/>
    <s v="04:40:06"/>
    <x v="41"/>
    <n v="433.62"/>
    <n v="2"/>
    <x v="4"/>
    <x v="4"/>
    <n v="7"/>
    <s v="Before_time"/>
    <n v="39"/>
    <n v="6"/>
    <d v="2024-12-18T00:00:00"/>
    <s v="02:03:57"/>
    <m/>
    <n v="819.51600000000008"/>
    <n v="86.72399999999999"/>
    <n v="780.51600000000008"/>
    <n v="867.24"/>
  </r>
  <r>
    <s v="CID180"/>
    <x v="34"/>
    <s v="Thomas"/>
    <s v="Andersen"/>
    <n v="50"/>
    <x v="2"/>
    <x v="4"/>
    <s v="thomas.andersen@yahoo.com"/>
    <s v="480 Summers Lock Suite 819, Sarahborough, IA 59863"/>
    <x v="450"/>
    <d v="2023-08-11T00:00:00"/>
    <s v="01:51:31"/>
    <x v="3"/>
    <n v="405"/>
    <n v="3"/>
    <x v="4"/>
    <x v="4"/>
    <n v="6"/>
    <s v="Before_time"/>
    <n v="36"/>
    <n v="4"/>
    <d v="2023-08-15T00:00:00"/>
    <s v="05:04:36"/>
    <m/>
    <n v="1129.5"/>
    <n v="121.5"/>
    <n v="1093.5"/>
    <n v="1215"/>
  </r>
  <r>
    <s v="CID150"/>
    <x v="1"/>
    <s v="Anthony"/>
    <s v="Thomas"/>
    <n v="53"/>
    <x v="1"/>
    <x v="1"/>
    <s v="anthony.thomas@rediffmail.com"/>
    <s v="931 Christopher Ways Suite 833, North Michelle, IN 53484"/>
    <x v="451"/>
    <d v="2023-05-30T00:00:00"/>
    <s v="11:55:04"/>
    <x v="4"/>
    <n v="330.11"/>
    <n v="3"/>
    <x v="3"/>
    <x v="3"/>
    <n v="7"/>
    <s v="Before_time"/>
    <n v="40"/>
    <n v="4"/>
    <d v="2023-06-03T00:00:00"/>
    <s v="05:45:33"/>
    <m/>
    <n v="832.26400000000012"/>
    <n v="198.06600000000003"/>
    <n v="792.26400000000012"/>
    <n v="990.33"/>
  </r>
  <r>
    <s v="CID196"/>
    <x v="94"/>
    <s v="Regina"/>
    <s v="Hawkins"/>
    <n v="47"/>
    <x v="1"/>
    <x v="0"/>
    <s v="regina.hawkins@rediffmail.com"/>
    <s v="096 Santos Neck Apt. 937, Benjaminmouth, FL 61454"/>
    <x v="452"/>
    <d v="2024-03-29T00:00:00"/>
    <s v="16:42:26"/>
    <x v="4"/>
    <n v="330.11"/>
    <n v="1"/>
    <x v="4"/>
    <x v="4"/>
    <n v="4"/>
    <s v="On_time"/>
    <n v="39"/>
    <n v="4"/>
    <d v="2024-04-02T00:00:00"/>
    <s v="08:22:44"/>
    <m/>
    <n v="336.09900000000005"/>
    <n v="33.011000000000003"/>
    <n v="297.09900000000005"/>
    <n v="330.11"/>
  </r>
  <r>
    <s v="CID146"/>
    <x v="98"/>
    <s v="Janice"/>
    <s v="Gordon"/>
    <n v="43"/>
    <x v="0"/>
    <x v="1"/>
    <s v="janice.gordon@yahoo.com"/>
    <s v="5812 Evelyn Mountains Suite 845, Ortiztown, MN 86166"/>
    <x v="453"/>
    <d v="2024-10-06T00:00:00"/>
    <s v="02:55:29"/>
    <x v="40"/>
    <n v="445.81"/>
    <n v="2"/>
    <x v="1"/>
    <x v="1"/>
    <n v="4"/>
    <s v="Late_Delivery"/>
    <n v="59"/>
    <n v="5"/>
    <d v="2024-10-11T00:00:00"/>
    <s v="04:21:49"/>
    <m/>
    <n v="816.87699999999995"/>
    <n v="133.74299999999999"/>
    <n v="757.87699999999995"/>
    <n v="891.62"/>
  </r>
  <r>
    <s v="CID114"/>
    <x v="92"/>
    <s v="Lauren"/>
    <s v="Crane"/>
    <n v="62"/>
    <x v="1"/>
    <x v="1"/>
    <s v="lauren.crane@yahoo.com"/>
    <s v="30313 Reyes Parkways Suite 392, Port Bradley, SC 24078"/>
    <x v="454"/>
    <d v="2024-03-29T00:00:00"/>
    <s v="12:05:41"/>
    <x v="49"/>
    <n v="33.49"/>
    <n v="1"/>
    <x v="2"/>
    <x v="2"/>
    <n v="2"/>
    <s v="Late_Delivery"/>
    <n v="69"/>
    <n v="5"/>
    <d v="2024-04-03T00:00:00"/>
    <s v="04:38:50"/>
    <m/>
    <n v="102.49000000000001"/>
    <n v="0"/>
    <n v="33.49"/>
    <n v="33.49"/>
  </r>
  <r>
    <s v="CID132"/>
    <x v="33"/>
    <s v="Timothy"/>
    <s v="Hicks"/>
    <n v="31"/>
    <x v="2"/>
    <x v="4"/>
    <s v="timothy.hicks@gmail.com"/>
    <s v="140 Tracy Fields, Lake Cynthiaton, TX 57190"/>
    <x v="455"/>
    <d v="2024-08-21T00:00:00"/>
    <s v="03:10:32"/>
    <x v="21"/>
    <n v="157.63999999999999"/>
    <n v="1"/>
    <x v="3"/>
    <x v="3"/>
    <n v="7"/>
    <s v="Before_time"/>
    <n v="46"/>
    <n v="2"/>
    <d v="2024-08-23T00:00:00"/>
    <s v="11:44:11"/>
    <m/>
    <n v="172.11199999999999"/>
    <n v="31.527999999999999"/>
    <n v="126.11199999999999"/>
    <n v="157.63999999999999"/>
  </r>
  <r>
    <s v="CID169"/>
    <x v="32"/>
    <s v="Robert"/>
    <s v="Castillo"/>
    <n v="32"/>
    <x v="1"/>
    <x v="6"/>
    <s v="robert.castillo@gmail.com"/>
    <s v="7143 Brandon Skyway Suite 899, Tylerton, IA 21756"/>
    <x v="456"/>
    <d v="2023-11-27T00:00:00"/>
    <s v="17:54:41"/>
    <x v="8"/>
    <n v="257.06"/>
    <n v="1"/>
    <x v="0"/>
    <x v="0"/>
    <n v="3"/>
    <s v="Before_time"/>
    <n v="47"/>
    <n v="2"/>
    <d v="2023-11-29T00:00:00"/>
    <s v="08:42:42"/>
    <m/>
    <n v="283.49520000000001"/>
    <n v="20.564800000000002"/>
    <n v="236.49520000000001"/>
    <n v="257.06"/>
  </r>
  <r>
    <s v="CID189"/>
    <x v="77"/>
    <s v="Christine"/>
    <s v="Aguilar"/>
    <n v="46"/>
    <x v="0"/>
    <x v="0"/>
    <s v="christine.aguilar@gmail.com"/>
    <s v="3284 Martin Neck, Lopezville, NY 69154"/>
    <x v="457"/>
    <d v="2023-02-23T00:00:00"/>
    <s v="07:11:33"/>
    <x v="28"/>
    <n v="431.44"/>
    <n v="3"/>
    <x v="0"/>
    <x v="0"/>
    <n v="6"/>
    <s v="Before_time"/>
    <n v="70"/>
    <n v="3"/>
    <d v="2023-02-26T00:00:00"/>
    <s v="03:38:41"/>
    <m/>
    <n v="1260.7744"/>
    <n v="103.54559999999999"/>
    <n v="1190.7744"/>
    <n v="1294.32"/>
  </r>
  <r>
    <s v="CID196"/>
    <x v="94"/>
    <s v="Regina"/>
    <s v="Hawkins"/>
    <n v="47"/>
    <x v="1"/>
    <x v="0"/>
    <s v="regina.hawkins@rediffmail.com"/>
    <s v="096 Santos Neck Apt. 937, Benjaminmouth, FL 61454"/>
    <x v="458"/>
    <d v="2023-09-14T00:00:00"/>
    <s v="06:54:03"/>
    <x v="16"/>
    <n v="132.97"/>
    <n v="1"/>
    <x v="1"/>
    <x v="1"/>
    <n v="6"/>
    <s v="Late_Delivery"/>
    <n v="37"/>
    <n v="7"/>
    <d v="2023-09-21T00:00:00"/>
    <s v="01:13:09"/>
    <m/>
    <n v="150.02449999999999"/>
    <n v="19.945499999999999"/>
    <n v="113.02449999999999"/>
    <n v="132.97"/>
  </r>
  <r>
    <s v="CID196"/>
    <x v="94"/>
    <s v="Regina"/>
    <s v="Hawkins"/>
    <n v="47"/>
    <x v="1"/>
    <x v="0"/>
    <s v="regina.hawkins@rediffmail.com"/>
    <s v="096 Santos Neck Apt. 937, Benjaminmouth, FL 61454"/>
    <x v="459"/>
    <d v="2023-03-30T00:00:00"/>
    <s v="04:44:42"/>
    <x v="24"/>
    <n v="481.48"/>
    <n v="2"/>
    <x v="2"/>
    <x v="2"/>
    <n v="5"/>
    <s v="Before_time"/>
    <n v="45"/>
    <n v="2"/>
    <d v="2023-04-01T00:00:00"/>
    <s v="02:15:04"/>
    <m/>
    <n v="1007.96"/>
    <n v="0"/>
    <n v="962.96"/>
    <n v="962.96"/>
  </r>
  <r>
    <s v="CID167"/>
    <x v="99"/>
    <s v="Diana"/>
    <s v="French"/>
    <n v="54"/>
    <x v="1"/>
    <x v="2"/>
    <s v="diana.french@outlook.com"/>
    <s v="163 Jeffrey Drive, South Mary, NH 23999"/>
    <x v="460"/>
    <d v="2024-10-22T00:00:00"/>
    <s v="04:44:04"/>
    <x v="32"/>
    <n v="87.09"/>
    <n v="5"/>
    <x v="1"/>
    <x v="1"/>
    <n v="7"/>
    <s v="Before_time"/>
    <n v="40"/>
    <n v="2"/>
    <d v="2024-10-24T00:00:00"/>
    <s v="21:00:20"/>
    <m/>
    <n v="410.13250000000005"/>
    <n v="65.31750000000001"/>
    <n v="370.13250000000005"/>
    <n v="435.45000000000005"/>
  </r>
  <r>
    <s v="CID124"/>
    <x v="70"/>
    <s v="Edward"/>
    <s v="Black"/>
    <n v="42"/>
    <x v="0"/>
    <x v="2"/>
    <s v="edward.black@gmail.com"/>
    <s v="5879 Susan Via Apt. 886, Sandovalbury, WV 61449"/>
    <x v="461"/>
    <d v="2024-10-31T00:00:00"/>
    <s v="22:42:38"/>
    <x v="45"/>
    <n v="381.73"/>
    <n v="5"/>
    <x v="1"/>
    <x v="1"/>
    <n v="1"/>
    <s v="Late_Delivery"/>
    <n v="53"/>
    <n v="7"/>
    <d v="2024-11-07T00:00:00"/>
    <s v="12:41:59"/>
    <m/>
    <n v="1675.3525"/>
    <n v="286.29750000000001"/>
    <n v="1622.3525"/>
    <n v="1908.65"/>
  </r>
  <r>
    <s v="CID122"/>
    <x v="87"/>
    <s v="Jared"/>
    <s v="Horn"/>
    <n v="43"/>
    <x v="0"/>
    <x v="4"/>
    <s v="jared.horn@outlook.com"/>
    <s v="43325 Barbara Tunnel, Port James, LA 16246"/>
    <x v="462"/>
    <d v="2023-06-10T00:00:00"/>
    <s v="18:23:17"/>
    <x v="28"/>
    <n v="431.44"/>
    <n v="3"/>
    <x v="1"/>
    <x v="1"/>
    <n v="4"/>
    <s v="Late_Delivery"/>
    <n v="58"/>
    <n v="5"/>
    <d v="2023-06-15T00:00:00"/>
    <s v="19:23:44"/>
    <m/>
    <n v="1158.172"/>
    <n v="194.148"/>
    <n v="1100.172"/>
    <n v="1294.32"/>
  </r>
  <r>
    <s v="CID114"/>
    <x v="92"/>
    <s v="Lauren"/>
    <s v="Crane"/>
    <n v="62"/>
    <x v="1"/>
    <x v="1"/>
    <s v="lauren.crane@yahoo.com"/>
    <s v="30313 Reyes Parkways Suite 392, Port Bradley, SC 24078"/>
    <x v="463"/>
    <d v="2024-04-11T00:00:00"/>
    <s v="12:14:10"/>
    <x v="42"/>
    <n v="235.63"/>
    <n v="3"/>
    <x v="2"/>
    <x v="2"/>
    <n v="6"/>
    <s v="Before_time"/>
    <n v="41"/>
    <n v="5"/>
    <d v="2024-04-16T00:00:00"/>
    <s v="03:34:04"/>
    <m/>
    <n v="747.89"/>
    <n v="0"/>
    <n v="706.89"/>
    <n v="706.89"/>
  </r>
  <r>
    <s v="CID148"/>
    <x v="13"/>
    <s v="Erin"/>
    <s v="Miller"/>
    <n v="46"/>
    <x v="0"/>
    <x v="6"/>
    <s v="erin.miller@gmail.com"/>
    <s v="65972 Peterson Route, Port Andrewfurt, SD 32892"/>
    <x v="464"/>
    <d v="2024-08-21T00:00:00"/>
    <s v="04:53:45"/>
    <x v="26"/>
    <n v="372.62"/>
    <n v="4"/>
    <x v="0"/>
    <x v="0"/>
    <n v="3"/>
    <s v="Late_Delivery"/>
    <n v="48"/>
    <n v="5"/>
    <d v="2024-08-26T00:00:00"/>
    <s v="05:48:22"/>
    <m/>
    <n v="1419.2416000000001"/>
    <n v="119.2384"/>
    <n v="1371.2416000000001"/>
    <n v="1490.48"/>
  </r>
  <r>
    <s v="CID120"/>
    <x v="28"/>
    <s v="Jenny"/>
    <s v="Estrada"/>
    <n v="45"/>
    <x v="0"/>
    <x v="1"/>
    <s v="jenny.estrada@yahoo.com"/>
    <s v="792 Carlos Islands, West David, CT 16522"/>
    <x v="465"/>
    <d v="2023-06-26T00:00:00"/>
    <s v="10:23:23"/>
    <x v="40"/>
    <n v="445.81"/>
    <n v="3"/>
    <x v="3"/>
    <x v="3"/>
    <n v="1"/>
    <s v="Late_Delivery"/>
    <n v="58"/>
    <n v="6"/>
    <d v="2023-07-02T00:00:00"/>
    <s v="21:18:46"/>
    <m/>
    <n v="1127.9440000000002"/>
    <n v="267.48600000000005"/>
    <n v="1069.9440000000002"/>
    <n v="1337.43"/>
  </r>
  <r>
    <s v="CID118"/>
    <x v="58"/>
    <s v="Amy"/>
    <s v="Ellis"/>
    <n v="44"/>
    <x v="2"/>
    <x v="3"/>
    <s v="amy.ellis@gmail.com"/>
    <s v="217 Scott Ville, Christophermouth, NH 83776"/>
    <x v="466"/>
    <d v="2024-04-28T00:00:00"/>
    <s v="20:13:44"/>
    <x v="39"/>
    <n v="403.03"/>
    <n v="2"/>
    <x v="1"/>
    <x v="1"/>
    <n v="7"/>
    <s v="On_time"/>
    <n v="39"/>
    <n v="7"/>
    <d v="2024-05-05T00:00:00"/>
    <s v="09:06:18"/>
    <m/>
    <n v="724.15099999999995"/>
    <n v="120.90899999999999"/>
    <n v="685.15099999999995"/>
    <n v="806.06"/>
  </r>
  <r>
    <s v="CID119"/>
    <x v="74"/>
    <s v="Amy"/>
    <s v="Griffin"/>
    <n v="29"/>
    <x v="0"/>
    <x v="1"/>
    <s v="amy.griffin@rediffmail.com"/>
    <s v="07350 Aaron Meadow Suite 138, Kiaraberg, AL 79545"/>
    <x v="467"/>
    <d v="2024-05-11T00:00:00"/>
    <s v="12:43:07"/>
    <x v="27"/>
    <n v="496.59"/>
    <n v="5"/>
    <x v="0"/>
    <x v="0"/>
    <n v="3"/>
    <s v="Before_time"/>
    <n v="61"/>
    <n v="2"/>
    <d v="2024-05-13T00:00:00"/>
    <s v="05:09:35"/>
    <m/>
    <n v="2345.3139999999999"/>
    <n v="198.636"/>
    <n v="2284.3139999999999"/>
    <n v="2482.9499999999998"/>
  </r>
  <r>
    <s v="CID149"/>
    <x v="3"/>
    <s v="Angela"/>
    <s v="Horne"/>
    <n v="49"/>
    <x v="2"/>
    <x v="0"/>
    <s v="angela.horne@outlook.com"/>
    <s v="USNV Mueller, FPO AP 54648"/>
    <x v="468"/>
    <d v="2024-03-26T00:00:00"/>
    <s v="22:16:48"/>
    <x v="29"/>
    <n v="44.5"/>
    <n v="3"/>
    <x v="3"/>
    <x v="3"/>
    <n v="7"/>
    <s v="Before_time"/>
    <n v="40"/>
    <n v="5"/>
    <d v="2024-03-31T00:00:00"/>
    <s v="16:09:18"/>
    <m/>
    <n v="146.80000000000001"/>
    <n v="26.7"/>
    <n v="106.80000000000001"/>
    <n v="133.5"/>
  </r>
  <r>
    <s v="CID114"/>
    <x v="92"/>
    <s v="Lauren"/>
    <s v="Crane"/>
    <n v="62"/>
    <x v="1"/>
    <x v="1"/>
    <s v="lauren.crane@yahoo.com"/>
    <s v="30313 Reyes Parkways Suite 392, Port Bradley, SC 24078"/>
    <x v="469"/>
    <d v="2024-06-08T00:00:00"/>
    <s v="13:00:52"/>
    <x v="20"/>
    <n v="62.42"/>
    <n v="5"/>
    <x v="2"/>
    <x v="2"/>
    <n v="2"/>
    <s v="On_time"/>
    <n v="47"/>
    <n v="2"/>
    <d v="2024-06-10T00:00:00"/>
    <s v="00:18:32"/>
    <m/>
    <n v="359.1"/>
    <n v="0"/>
    <n v="312.10000000000002"/>
    <n v="312.10000000000002"/>
  </r>
  <r>
    <s v="CID156"/>
    <x v="63"/>
    <s v="Gregory"/>
    <s v="Lee"/>
    <n v="26"/>
    <x v="2"/>
    <x v="2"/>
    <s v="gregory.lee@rediffmail.com"/>
    <s v="619 Parker Turnpike Apt. 025, West Brucehaven, ID 48437"/>
    <x v="470"/>
    <d v="2024-03-11T00:00:00"/>
    <s v="15:33:07"/>
    <x v="32"/>
    <n v="87.09"/>
    <n v="4"/>
    <x v="4"/>
    <x v="4"/>
    <n v="5"/>
    <s v="Late_Delivery"/>
    <n v="45"/>
    <n v="6"/>
    <d v="2024-03-17T00:00:00"/>
    <s v="15:51:15"/>
    <m/>
    <n v="358.524"/>
    <n v="34.836000000000006"/>
    <n v="313.524"/>
    <n v="348.36"/>
  </r>
  <r>
    <s v="CID161"/>
    <x v="26"/>
    <s v="Heather"/>
    <s v="Schneider"/>
    <n v="48"/>
    <x v="1"/>
    <x v="3"/>
    <s v="heather.schneider@outlook.com"/>
    <s v="57940 Susan Creek Apt. 541, Port Aliciamouth, OR 90221"/>
    <x v="471"/>
    <d v="2023-12-23T00:00:00"/>
    <s v="16:58:37"/>
    <x v="25"/>
    <n v="77.84"/>
    <n v="4"/>
    <x v="3"/>
    <x v="3"/>
    <n v="5"/>
    <s v="Before_time"/>
    <n v="55"/>
    <n v="3"/>
    <d v="2023-12-26T00:00:00"/>
    <s v="01:05:53"/>
    <m/>
    <n v="304.08800000000002"/>
    <n v="62.272000000000006"/>
    <n v="249.08800000000002"/>
    <n v="311.36"/>
  </r>
  <r>
    <s v="CID146"/>
    <x v="98"/>
    <s v="Janice"/>
    <s v="Gordon"/>
    <n v="43"/>
    <x v="0"/>
    <x v="1"/>
    <s v="janice.gordon@yahoo.com"/>
    <s v="5812 Evelyn Mountains Suite 845, Ortiztown, MN 86166"/>
    <x v="472"/>
    <d v="2023-03-27T00:00:00"/>
    <s v="15:06:44"/>
    <x v="25"/>
    <n v="77.84"/>
    <n v="5"/>
    <x v="4"/>
    <x v="4"/>
    <n v="2"/>
    <s v="Late_Delivery"/>
    <n v="53"/>
    <n v="5"/>
    <d v="2023-04-01T00:00:00"/>
    <s v="14:31:29"/>
    <m/>
    <n v="403.28000000000003"/>
    <n v="38.92"/>
    <n v="350.28000000000003"/>
    <n v="389.20000000000005"/>
  </r>
  <r>
    <s v="CID134"/>
    <x v="45"/>
    <s v="Debra"/>
    <s v="Hayes"/>
    <n v="33"/>
    <x v="0"/>
    <x v="6"/>
    <s v="debra.hayes@yahoo.com"/>
    <s v="4601 Miller Lock, Williamsbury, IA 10943"/>
    <x v="473"/>
    <d v="2024-08-24T00:00:00"/>
    <s v="05:36:29"/>
    <x v="16"/>
    <n v="132.97"/>
    <n v="4"/>
    <x v="2"/>
    <x v="2"/>
    <n v="6"/>
    <s v="Late_Delivery"/>
    <n v="63"/>
    <n v="7"/>
    <d v="2024-08-31T00:00:00"/>
    <s v="07:21:52"/>
    <m/>
    <n v="594.88"/>
    <n v="0"/>
    <n v="531.88"/>
    <n v="531.88"/>
  </r>
  <r>
    <s v="CID158"/>
    <x v="21"/>
    <s v="Angela"/>
    <s v="Evans"/>
    <n v="52"/>
    <x v="2"/>
    <x v="1"/>
    <s v="angela.evans@outlook.com"/>
    <s v="16031 David Mountain Suite 431, Susanborough, PA 01910"/>
    <x v="474"/>
    <d v="2024-03-03T00:00:00"/>
    <s v="12:50:57"/>
    <x v="15"/>
    <n v="461.07"/>
    <n v="3"/>
    <x v="1"/>
    <x v="1"/>
    <n v="4"/>
    <s v="Before_time"/>
    <n v="54"/>
    <n v="3"/>
    <d v="2024-03-06T00:00:00"/>
    <s v="01:24:34"/>
    <m/>
    <n v="1229.7284999999999"/>
    <n v="207.48150000000001"/>
    <n v="1175.7284999999999"/>
    <n v="1383.21"/>
  </r>
  <r>
    <s v="CID140"/>
    <x v="59"/>
    <s v="Beth"/>
    <s v="Mason"/>
    <n v="45"/>
    <x v="2"/>
    <x v="3"/>
    <s v="beth.mason@outlook.com"/>
    <s v="58998 Sherry Haven, East Richard, FL 90775"/>
    <x v="475"/>
    <d v="2024-02-05T00:00:00"/>
    <s v="12:10:00"/>
    <x v="1"/>
    <n v="166.28"/>
    <n v="1"/>
    <x v="2"/>
    <x v="2"/>
    <n v="2"/>
    <s v="Before_time"/>
    <n v="38"/>
    <n v="1"/>
    <d v="2024-02-06T00:00:00"/>
    <s v="09:31:36"/>
    <m/>
    <n v="204.28"/>
    <n v="0"/>
    <n v="166.28"/>
    <n v="166.28"/>
  </r>
  <r>
    <s v="CID167"/>
    <x v="99"/>
    <s v="Diana"/>
    <s v="French"/>
    <n v="54"/>
    <x v="1"/>
    <x v="2"/>
    <s v="diana.french@outlook.com"/>
    <s v="163 Jeffrey Drive, South Mary, NH 23999"/>
    <x v="476"/>
    <d v="2024-03-02T00:00:00"/>
    <s v="13:21:50"/>
    <x v="38"/>
    <n v="477.52"/>
    <n v="4"/>
    <x v="4"/>
    <x v="4"/>
    <n v="3"/>
    <s v="Before_time"/>
    <n v="54"/>
    <n v="1"/>
    <d v="2024-03-03T00:00:00"/>
    <s v="18:29:46"/>
    <m/>
    <n v="1773.0719999999999"/>
    <n v="191.00799999999998"/>
    <n v="1719.0719999999999"/>
    <n v="1910.08"/>
  </r>
  <r>
    <s v="CID181"/>
    <x v="37"/>
    <s v="Alexandra"/>
    <s v="Smith"/>
    <n v="70"/>
    <x v="0"/>
    <x v="0"/>
    <s v="alexandra.smith@rediffmail.com"/>
    <s v="48611 Clark Village, West Anne, GA 92865"/>
    <x v="477"/>
    <d v="2024-04-10T00:00:00"/>
    <s v="18:25:37"/>
    <x v="38"/>
    <n v="477.52"/>
    <n v="5"/>
    <x v="4"/>
    <x v="4"/>
    <n v="7"/>
    <s v="Before_time"/>
    <n v="53"/>
    <n v="2"/>
    <d v="2024-04-12T00:00:00"/>
    <s v="09:32:58"/>
    <m/>
    <n v="2201.84"/>
    <n v="238.76"/>
    <n v="2148.84"/>
    <n v="2387.6"/>
  </r>
  <r>
    <s v="CID146"/>
    <x v="98"/>
    <s v="Janice"/>
    <s v="Gordon"/>
    <n v="43"/>
    <x v="0"/>
    <x v="1"/>
    <s v="janice.gordon@yahoo.com"/>
    <s v="5812 Evelyn Mountains Suite 845, Ortiztown, MN 86166"/>
    <x v="478"/>
    <d v="2023-11-29T00:00:00"/>
    <s v="14:34:14"/>
    <x v="22"/>
    <n v="158.53"/>
    <n v="2"/>
    <x v="2"/>
    <x v="2"/>
    <n v="5"/>
    <s v="Before_time"/>
    <n v="69"/>
    <n v="2"/>
    <d v="2023-12-01T00:00:00"/>
    <s v="17:45:57"/>
    <m/>
    <n v="386.06"/>
    <n v="0"/>
    <n v="317.06"/>
    <n v="317.06"/>
  </r>
  <r>
    <s v="CID168"/>
    <x v="17"/>
    <s v="Deborah"/>
    <s v="Bates"/>
    <n v="23"/>
    <x v="0"/>
    <x v="3"/>
    <s v="deborah.bates@yahoo.com"/>
    <s v="278 Kathy Estate, Saraville, OH 77292"/>
    <x v="479"/>
    <d v="2024-03-22T00:00:00"/>
    <s v="00:44:05"/>
    <x v="3"/>
    <n v="405"/>
    <n v="3"/>
    <x v="4"/>
    <x v="4"/>
    <n v="5"/>
    <s v="Late_Delivery"/>
    <n v="54"/>
    <n v="6"/>
    <d v="2024-03-28T00:00:00"/>
    <s v="19:29:03"/>
    <m/>
    <n v="1147.5"/>
    <n v="121.5"/>
    <n v="1093.5"/>
    <n v="1215"/>
  </r>
  <r>
    <s v="CID199"/>
    <x v="44"/>
    <s v="Lori"/>
    <s v="Cook"/>
    <n v="18"/>
    <x v="1"/>
    <x v="1"/>
    <s v="lori.cook@rediffmail.com"/>
    <s v="86837 Bell Meadows, North Jasonshire, UT 51354"/>
    <x v="480"/>
    <d v="2024-03-29T00:00:00"/>
    <s v="05:02:45"/>
    <x v="48"/>
    <n v="107.47"/>
    <n v="4"/>
    <x v="4"/>
    <x v="4"/>
    <n v="3"/>
    <s v="Late_Delivery"/>
    <n v="65"/>
    <n v="5"/>
    <d v="2024-04-03T00:00:00"/>
    <s v="14:00:57"/>
    <m/>
    <n v="451.892"/>
    <n v="42.988"/>
    <n v="386.892"/>
    <n v="429.88"/>
  </r>
  <r>
    <s v="CID136"/>
    <x v="46"/>
    <s v="Brittany"/>
    <s v="Stewart"/>
    <n v="68"/>
    <x v="2"/>
    <x v="7"/>
    <s v="brittany.stewart@gmail.com"/>
    <s v="6250 David Loaf Suite 561, North Pamelaberg, WV 63652"/>
    <x v="481"/>
    <d v="2023-05-26T00:00:00"/>
    <s v="16:28:38"/>
    <x v="19"/>
    <n v="128.13999999999999"/>
    <n v="3"/>
    <x v="3"/>
    <x v="3"/>
    <n v="2"/>
    <s v="Late_Delivery"/>
    <n v="59"/>
    <n v="4"/>
    <d v="2023-05-30T00:00:00"/>
    <s v="01:06:14"/>
    <m/>
    <n v="366.536"/>
    <n v="76.884"/>
    <n v="307.536"/>
    <n v="384.41999999999996"/>
  </r>
  <r>
    <s v="CID147"/>
    <x v="15"/>
    <s v="Mallory"/>
    <s v="Mitchell"/>
    <n v="42"/>
    <x v="1"/>
    <x v="6"/>
    <s v="mallory.mitchell@yahoo.com"/>
    <s v="710 Anthony Wall Suite 137, East Davidstad, NV 61494"/>
    <x v="482"/>
    <d v="2023-12-30T00:00:00"/>
    <s v="08:22:36"/>
    <x v="14"/>
    <n v="20.7"/>
    <n v="1"/>
    <x v="4"/>
    <x v="4"/>
    <n v="5"/>
    <s v="Before_time"/>
    <n v="55"/>
    <n v="1"/>
    <d v="2023-12-31T00:00:00"/>
    <s v="07:46:17"/>
    <m/>
    <n v="73.63"/>
    <n v="2.0699999999999998"/>
    <n v="18.63"/>
    <n v="20.7"/>
  </r>
  <r>
    <s v="CID147"/>
    <x v="15"/>
    <s v="Mallory"/>
    <s v="Mitchell"/>
    <n v="42"/>
    <x v="1"/>
    <x v="6"/>
    <s v="mallory.mitchell@yahoo.com"/>
    <s v="710 Anthony Wall Suite 137, East Davidstad, NV 61494"/>
    <x v="483"/>
    <d v="2023-07-21T00:00:00"/>
    <s v="02:53:11"/>
    <x v="20"/>
    <n v="62.42"/>
    <n v="3"/>
    <x v="0"/>
    <x v="0"/>
    <n v="6"/>
    <s v="Before_time"/>
    <n v="39"/>
    <n v="1"/>
    <d v="2023-07-22T00:00:00"/>
    <s v="03:53:13"/>
    <m/>
    <n v="211.2792"/>
    <n v="14.980799999999999"/>
    <n v="172.2792"/>
    <n v="187.26"/>
  </r>
  <r>
    <s v="CID128"/>
    <x v="16"/>
    <s v="Traci"/>
    <s v="Jones"/>
    <n v="34"/>
    <x v="0"/>
    <x v="3"/>
    <s v="traci.jones@yahoo.com"/>
    <s v="4016 Ryan Passage, Collinsside, PA 88777"/>
    <x v="484"/>
    <d v="2023-12-23T00:00:00"/>
    <s v="08:17:07"/>
    <x v="24"/>
    <n v="481.48"/>
    <n v="1"/>
    <x v="0"/>
    <x v="0"/>
    <n v="5"/>
    <s v="Before_time"/>
    <n v="70"/>
    <n v="4"/>
    <d v="2023-12-27T00:00:00"/>
    <s v="07:01:18"/>
    <m/>
    <n v="512.96160000000009"/>
    <n v="38.5184"/>
    <n v="442.96160000000003"/>
    <n v="481.48"/>
  </r>
  <r>
    <s v="CID155"/>
    <x v="29"/>
    <s v="Courtney"/>
    <s v="Parker"/>
    <n v="29"/>
    <x v="2"/>
    <x v="3"/>
    <s v="courtney.parker@yahoo.com"/>
    <s v="087 Jacqueline Rue Apt. 694, East Tasha, SC 04859"/>
    <x v="485"/>
    <d v="2024-12-07T00:00:00"/>
    <s v="01:02:33"/>
    <x v="0"/>
    <n v="308.88"/>
    <n v="3"/>
    <x v="3"/>
    <x v="3"/>
    <n v="5"/>
    <s v="Before_time"/>
    <n v="68"/>
    <n v="3"/>
    <d v="2024-12-10T00:00:00"/>
    <s v="03:31:58"/>
    <m/>
    <n v="809.31200000000001"/>
    <n v="185.328"/>
    <n v="741.31200000000001"/>
    <n v="926.64"/>
  </r>
  <r>
    <s v="CID117"/>
    <x v="84"/>
    <s v="Hannah"/>
    <s v="Gutierrez"/>
    <n v="55"/>
    <x v="1"/>
    <x v="5"/>
    <s v="hannah.gutierrez@yahoo.com"/>
    <s v="2420 David Manors, Jessicaland, CT 41698"/>
    <x v="486"/>
    <d v="2024-03-05T00:00:00"/>
    <s v="22:17:42"/>
    <x v="7"/>
    <n v="48.45"/>
    <n v="3"/>
    <x v="3"/>
    <x v="3"/>
    <n v="6"/>
    <s v="Before_time"/>
    <n v="43"/>
    <n v="2"/>
    <d v="2024-03-07T00:00:00"/>
    <s v="09:42:50"/>
    <m/>
    <n v="159.28000000000003"/>
    <n v="29.070000000000004"/>
    <n v="116.28000000000003"/>
    <n v="145.35000000000002"/>
  </r>
  <r>
    <s v="CID105"/>
    <x v="9"/>
    <s v="Joseph"/>
    <s v="Stewart"/>
    <n v="30"/>
    <x v="1"/>
    <x v="1"/>
    <s v="joseph.stewart@yahoo.com"/>
    <s v="4082 Wang Terrace Suite 040, Victorialand, ME 41532"/>
    <x v="487"/>
    <d v="2023-09-19T00:00:00"/>
    <s v="07:36:32"/>
    <x v="48"/>
    <n v="107.47"/>
    <n v="4"/>
    <x v="0"/>
    <x v="0"/>
    <n v="2"/>
    <s v="Late_Delivery"/>
    <n v="35"/>
    <n v="3"/>
    <d v="2023-09-22T00:00:00"/>
    <s v="09:34:23"/>
    <m/>
    <n v="430.4896"/>
    <n v="34.3904"/>
    <n v="395.4896"/>
    <n v="429.88"/>
  </r>
  <r>
    <s v="CID184"/>
    <x v="35"/>
    <s v="Aaron"/>
    <s v="Thompson"/>
    <n v="47"/>
    <x v="1"/>
    <x v="3"/>
    <s v="aaron.thompson@gmail.com"/>
    <s v="PSC 0550, Box 2737, APO AE 75772"/>
    <x v="488"/>
    <d v="2025-01-24T00:00:00"/>
    <s v="07:39:59"/>
    <x v="35"/>
    <n v="441.03"/>
    <n v="5"/>
    <x v="0"/>
    <x v="0"/>
    <n v="5"/>
    <s v="Before_time"/>
    <n v="62"/>
    <n v="1"/>
    <d v="2025-01-25T00:00:00"/>
    <s v="04:52:06"/>
    <m/>
    <n v="2090.7379999999998"/>
    <n v="176.41199999999998"/>
    <n v="2028.7379999999998"/>
    <n v="2205.1499999999996"/>
  </r>
  <r>
    <s v="CID145"/>
    <x v="54"/>
    <s v="Ashley"/>
    <s v="Romero"/>
    <n v="35"/>
    <x v="0"/>
    <x v="0"/>
    <s v="ashley.romero@yahoo.com"/>
    <s v="547 Kerry Expressway, Lake Amanda, AR 20321"/>
    <x v="489"/>
    <d v="2023-03-22T00:00:00"/>
    <s v="18:04:56"/>
    <x v="49"/>
    <n v="33.49"/>
    <n v="4"/>
    <x v="3"/>
    <x v="3"/>
    <n v="7"/>
    <s v="Before_time"/>
    <n v="54"/>
    <n v="1"/>
    <d v="2023-03-23T00:00:00"/>
    <s v="06:42:40"/>
    <m/>
    <n v="161.16800000000001"/>
    <n v="26.792000000000002"/>
    <n v="107.16800000000001"/>
    <n v="133.96"/>
  </r>
  <r>
    <s v="CID156"/>
    <x v="63"/>
    <s v="Gregory"/>
    <s v="Lee"/>
    <n v="26"/>
    <x v="2"/>
    <x v="2"/>
    <s v="gregory.lee@rediffmail.com"/>
    <s v="619 Parker Turnpike Apt. 025, West Brucehaven, ID 48437"/>
    <x v="490"/>
    <d v="2023-10-05T00:00:00"/>
    <s v="03:18:41"/>
    <x v="49"/>
    <n v="33.49"/>
    <n v="1"/>
    <x v="1"/>
    <x v="1"/>
    <n v="4"/>
    <s v="Before_time"/>
    <n v="44"/>
    <n v="2"/>
    <d v="2023-10-07T00:00:00"/>
    <s v="01:31:23"/>
    <m/>
    <n v="72.466499999999996"/>
    <n v="5.0235000000000003"/>
    <n v="28.4665"/>
    <n v="33.49"/>
  </r>
  <r>
    <s v="CID136"/>
    <x v="46"/>
    <s v="Brittany"/>
    <s v="Stewart"/>
    <n v="68"/>
    <x v="2"/>
    <x v="7"/>
    <s v="brittany.stewart@gmail.com"/>
    <s v="6250 David Loaf Suite 561, North Pamelaberg, WV 63652"/>
    <x v="491"/>
    <d v="2024-10-25T00:00:00"/>
    <s v="20:38:05"/>
    <x v="20"/>
    <n v="62.42"/>
    <n v="4"/>
    <x v="2"/>
    <x v="2"/>
    <n v="4"/>
    <s v="Late_Delivery"/>
    <n v="37"/>
    <n v="7"/>
    <d v="2024-11-01T00:00:00"/>
    <s v="02:58:16"/>
    <m/>
    <n v="286.68"/>
    <n v="0"/>
    <n v="249.68"/>
    <n v="249.68"/>
  </r>
  <r>
    <s v="CID169"/>
    <x v="32"/>
    <s v="Robert"/>
    <s v="Castillo"/>
    <n v="32"/>
    <x v="1"/>
    <x v="6"/>
    <s v="robert.castillo@gmail.com"/>
    <s v="7143 Brandon Skyway Suite 899, Tylerton, IA 21756"/>
    <x v="492"/>
    <d v="2023-10-18T00:00:00"/>
    <s v="08:32:59"/>
    <x v="23"/>
    <n v="129.75"/>
    <n v="1"/>
    <x v="0"/>
    <x v="0"/>
    <n v="7"/>
    <s v="Before_time"/>
    <n v="56"/>
    <n v="2"/>
    <d v="2023-10-20T00:00:00"/>
    <s v="03:32:40"/>
    <m/>
    <n v="175.37"/>
    <n v="10.38"/>
    <n v="119.37"/>
    <n v="129.75"/>
  </r>
  <r>
    <s v="CID137"/>
    <x v="14"/>
    <s v="Gina"/>
    <s v="Moreno"/>
    <n v="36"/>
    <x v="2"/>
    <x v="4"/>
    <s v="gina.moreno@rediffmail.com"/>
    <s v="USS Murray, FPO AP 66559"/>
    <x v="493"/>
    <d v="2023-09-13T00:00:00"/>
    <s v="12:42:28"/>
    <x v="14"/>
    <n v="20.7"/>
    <n v="4"/>
    <x v="3"/>
    <x v="3"/>
    <n v="1"/>
    <s v="Late_Delivery"/>
    <n v="61"/>
    <n v="2"/>
    <d v="2023-09-15T00:00:00"/>
    <s v="16:13:49"/>
    <m/>
    <n v="127.24"/>
    <n v="16.559999999999999"/>
    <n v="66.239999999999995"/>
    <n v="82.8"/>
  </r>
  <r>
    <s v="CID172"/>
    <x v="10"/>
    <s v="Kara"/>
    <s v="Brennan"/>
    <n v="25"/>
    <x v="2"/>
    <x v="4"/>
    <s v="kara.brennan@outlook.com"/>
    <s v="2174 Thomas Avenue, Maciasborough, NJ 41465"/>
    <x v="494"/>
    <d v="2023-06-30T00:00:00"/>
    <s v="10:24:01"/>
    <x v="11"/>
    <n v="220.27"/>
    <n v="3"/>
    <x v="2"/>
    <x v="2"/>
    <n v="4"/>
    <s v="Before_time"/>
    <n v="50"/>
    <n v="1"/>
    <d v="2023-07-01T00:00:00"/>
    <s v="06:25:35"/>
    <m/>
    <n v="710.81000000000006"/>
    <n v="0"/>
    <n v="660.81000000000006"/>
    <n v="660.81000000000006"/>
  </r>
  <r>
    <s v="CID163"/>
    <x v="19"/>
    <s v="Mark"/>
    <s v="Henderson"/>
    <n v="33"/>
    <x v="2"/>
    <x v="7"/>
    <s v="mark.henderson@yahoo.com"/>
    <s v="90155 Hines Spring, North Theresafurt, ME 31920"/>
    <x v="495"/>
    <d v="2023-04-16T00:00:00"/>
    <s v="12:19:38"/>
    <x v="41"/>
    <n v="433.62"/>
    <n v="2"/>
    <x v="0"/>
    <x v="0"/>
    <n v="7"/>
    <s v="On_time"/>
    <n v="56"/>
    <n v="7"/>
    <d v="2023-04-23T00:00:00"/>
    <s v="00:24:54"/>
    <m/>
    <n v="853.86080000000004"/>
    <n v="69.379199999999997"/>
    <n v="797.86080000000004"/>
    <n v="867.24"/>
  </r>
  <r>
    <s v="CID110"/>
    <x v="93"/>
    <s v="Katie"/>
    <s v="Hicks"/>
    <n v="34"/>
    <x v="2"/>
    <x v="5"/>
    <s v="katie.hicks@rediffmail.com"/>
    <s v="848 William Port, New Marilyn, SD 58000"/>
    <x v="496"/>
    <d v="2024-07-17T00:00:00"/>
    <s v="01:15:18"/>
    <x v="19"/>
    <n v="128.13999999999999"/>
    <n v="3"/>
    <x v="0"/>
    <x v="0"/>
    <n v="5"/>
    <s v="On_time"/>
    <n v="49"/>
    <n v="5"/>
    <d v="2024-07-22T00:00:00"/>
    <s v="16:11:48"/>
    <m/>
    <n v="402.66639999999995"/>
    <n v="30.753599999999995"/>
    <n v="353.66639999999995"/>
    <n v="384.41999999999996"/>
  </r>
  <r>
    <s v="CID167"/>
    <x v="99"/>
    <s v="Diana"/>
    <s v="French"/>
    <n v="54"/>
    <x v="1"/>
    <x v="2"/>
    <s v="diana.french@outlook.com"/>
    <s v="163 Jeffrey Drive, South Mary, NH 23999"/>
    <x v="497"/>
    <d v="2024-03-30T00:00:00"/>
    <s v="09:50:05"/>
    <x v="12"/>
    <n v="272.51"/>
    <n v="5"/>
    <x v="2"/>
    <x v="2"/>
    <n v="3"/>
    <s v="Late_Delivery"/>
    <n v="66"/>
    <n v="7"/>
    <d v="2024-04-06T00:00:00"/>
    <s v="23:38:57"/>
    <m/>
    <n v="1428.55"/>
    <n v="0"/>
    <n v="1362.55"/>
    <n v="1362.55"/>
  </r>
  <r>
    <s v="CID135"/>
    <x v="39"/>
    <s v="Amanda"/>
    <s v="Howard"/>
    <n v="52"/>
    <x v="2"/>
    <x v="7"/>
    <s v="amanda.howard@outlook.com"/>
    <s v="56908 Sydney Park Suite 632, West Anthonyport, NC 15954"/>
    <x v="498"/>
    <d v="2024-06-29T00:00:00"/>
    <s v="08:30:03"/>
    <x v="43"/>
    <n v="424.82"/>
    <n v="2"/>
    <x v="2"/>
    <x v="2"/>
    <n v="6"/>
    <s v="Before_time"/>
    <n v="63"/>
    <n v="5"/>
    <d v="2024-07-04T00:00:00"/>
    <s v="17:07:47"/>
    <m/>
    <n v="912.64"/>
    <n v="0"/>
    <n v="849.64"/>
    <n v="849.64"/>
  </r>
  <r>
    <s v="CID158"/>
    <x v="21"/>
    <s v="Angela"/>
    <s v="Evans"/>
    <n v="52"/>
    <x v="2"/>
    <x v="1"/>
    <s v="angela.evans@outlook.com"/>
    <s v="16031 David Mountain Suite 431, Susanborough, PA 01910"/>
    <x v="499"/>
    <d v="2024-07-28T00:00:00"/>
    <s v="17:02:09"/>
    <x v="29"/>
    <n v="44.5"/>
    <n v="4"/>
    <x v="2"/>
    <x v="2"/>
    <n v="3"/>
    <s v="On_time"/>
    <n v="45"/>
    <n v="3"/>
    <d v="2024-07-31T00:00:00"/>
    <s v="05:55:32"/>
    <m/>
    <n v="223"/>
    <n v="0"/>
    <n v="178"/>
    <n v="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Top5 products">
  <location ref="B144:C150" firstHeaderRow="1" firstDataRow="1" firstDataCol="1"/>
  <pivotFields count="28">
    <pivotField showAll="0"/>
    <pivotField showAll="0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</pivotField>
    <pivotField showAll="0"/>
    <pivotField showAll="0"/>
    <pivotField showAll="0"/>
    <pivotField showAll="0"/>
    <pivotField showAll="0">
      <items count="9">
        <item x="5"/>
        <item x="7"/>
        <item x="1"/>
        <item x="3"/>
        <item x="4"/>
        <item x="2"/>
        <item x="0"/>
        <item x="6"/>
        <item t="default"/>
      </items>
    </pivotField>
    <pivotField showAll="0"/>
    <pivotField showAll="0"/>
    <pivotField showAll="0"/>
    <pivotField numFmtId="164" showAll="0"/>
    <pivotField showAll="0"/>
    <pivotField axis="axisRow" showAll="0" measureFilter="1" sortType="descending">
      <items count="51">
        <item x="30"/>
        <item x="48"/>
        <item x="14"/>
        <item x="27"/>
        <item x="40"/>
        <item x="38"/>
        <item x="8"/>
        <item x="15"/>
        <item x="32"/>
        <item x="29"/>
        <item x="47"/>
        <item x="16"/>
        <item x="42"/>
        <item x="12"/>
        <item x="1"/>
        <item x="37"/>
        <item x="36"/>
        <item x="20"/>
        <item x="31"/>
        <item x="28"/>
        <item x="23"/>
        <item x="0"/>
        <item x="2"/>
        <item x="13"/>
        <item x="39"/>
        <item x="19"/>
        <item x="24"/>
        <item x="17"/>
        <item x="45"/>
        <item x="18"/>
        <item x="3"/>
        <item x="43"/>
        <item x="7"/>
        <item x="6"/>
        <item x="41"/>
        <item x="21"/>
        <item x="25"/>
        <item x="33"/>
        <item x="11"/>
        <item x="44"/>
        <item x="26"/>
        <item x="9"/>
        <item x="4"/>
        <item x="46"/>
        <item x="49"/>
        <item x="5"/>
        <item x="10"/>
        <item x="34"/>
        <item x="35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6">
    <i>
      <x v="26"/>
    </i>
    <i>
      <x v="45"/>
    </i>
    <i>
      <x v="3"/>
    </i>
    <i>
      <x v="16"/>
    </i>
    <i>
      <x v="37"/>
    </i>
    <i t="grand">
      <x/>
    </i>
  </rowItems>
  <colItems count="1">
    <i/>
  </colItems>
  <dataFields count="1">
    <dataField name="High_SALES" fld="27" baseField="12" baseItem="26"/>
  </dataFields>
  <pivotTableStyleInfo name="PivotStyleLight16" showRowHeaders="1" showColHeaders="1" showRowStripes="0" showColStripes="0" showLastColumn="1"/>
  <filters count="1">
    <filter fld="1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B303:C30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4">
        <item x="2"/>
        <item x="0"/>
        <item x="1"/>
        <item x="3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 defaultSubtota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ail_from _domain" fld="9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B118:C127" firstHeaderRow="1" firstDataRow="1" firstDataCol="1"/>
  <pivotFields count="28">
    <pivotField showAll="0"/>
    <pivotField showAll="0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</pivotField>
    <pivotField showAll="0"/>
    <pivotField showAll="0"/>
    <pivotField showAll="0"/>
    <pivotField showAll="0"/>
    <pivotField axis="axisRow" showAll="0">
      <items count="9">
        <item x="5"/>
        <item x="7"/>
        <item x="1"/>
        <item x="3"/>
        <item x="4"/>
        <item x="2"/>
        <item x="0"/>
        <item x="6"/>
        <item t="default"/>
      </items>
    </pivotField>
    <pivotField showAll="0"/>
    <pivotField showAll="0"/>
    <pivotField dataField="1" showAll="0">
      <items count="501">
        <item x="352"/>
        <item x="448"/>
        <item x="301"/>
        <item x="67"/>
        <item x="402"/>
        <item x="255"/>
        <item x="230"/>
        <item x="446"/>
        <item x="207"/>
        <item x="438"/>
        <item x="203"/>
        <item x="411"/>
        <item x="115"/>
        <item x="266"/>
        <item x="107"/>
        <item x="171"/>
        <item x="69"/>
        <item x="277"/>
        <item x="457"/>
        <item x="300"/>
        <item x="353"/>
        <item x="329"/>
        <item x="285"/>
        <item x="90"/>
        <item x="129"/>
        <item x="160"/>
        <item x="308"/>
        <item x="216"/>
        <item x="126"/>
        <item x="125"/>
        <item x="374"/>
        <item x="281"/>
        <item x="5"/>
        <item x="259"/>
        <item x="76"/>
        <item x="72"/>
        <item x="243"/>
        <item x="395"/>
        <item x="313"/>
        <item x="422"/>
        <item x="168"/>
        <item x="355"/>
        <item x="110"/>
        <item x="148"/>
        <item x="302"/>
        <item x="436"/>
        <item x="18"/>
        <item x="173"/>
        <item x="441"/>
        <item x="445"/>
        <item x="419"/>
        <item x="334"/>
        <item x="432"/>
        <item x="474"/>
        <item x="196"/>
        <item x="398"/>
        <item x="335"/>
        <item x="463"/>
        <item x="247"/>
        <item x="10"/>
        <item x="15"/>
        <item x="51"/>
        <item x="339"/>
        <item x="475"/>
        <item x="468"/>
        <item x="409"/>
        <item x="379"/>
        <item x="256"/>
        <item x="25"/>
        <item x="55"/>
        <item x="77"/>
        <item x="50"/>
        <item x="348"/>
        <item x="433"/>
        <item x="473"/>
        <item x="239"/>
        <item x="241"/>
        <item x="274"/>
        <item x="459"/>
        <item x="362"/>
        <item x="161"/>
        <item x="369"/>
        <item x="0"/>
        <item x="321"/>
        <item x="337"/>
        <item x="114"/>
        <item x="365"/>
        <item x="392"/>
        <item x="306"/>
        <item x="455"/>
        <item x="249"/>
        <item x="336"/>
        <item x="175"/>
        <item x="66"/>
        <item x="34"/>
        <item x="236"/>
        <item x="130"/>
        <item x="471"/>
        <item x="327"/>
        <item x="4"/>
        <item x="28"/>
        <item x="421"/>
        <item x="491"/>
        <item x="357"/>
        <item x="205"/>
        <item x="211"/>
        <item x="282"/>
        <item x="229"/>
        <item x="56"/>
        <item x="119"/>
        <item x="64"/>
        <item x="393"/>
        <item x="486"/>
        <item x="190"/>
        <item x="11"/>
        <item x="85"/>
        <item x="297"/>
        <item x="289"/>
        <item x="373"/>
        <item x="145"/>
        <item x="492"/>
        <item x="43"/>
        <item x="92"/>
        <item x="271"/>
        <item x="497"/>
        <item x="410"/>
        <item x="197"/>
        <item x="74"/>
        <item x="151"/>
        <item x="251"/>
        <item x="489"/>
        <item x="36"/>
        <item x="13"/>
        <item x="381"/>
        <item x="8"/>
        <item x="233"/>
        <item x="412"/>
        <item x="150"/>
        <item x="113"/>
        <item x="280"/>
        <item x="104"/>
        <item x="49"/>
        <item x="408"/>
        <item x="331"/>
        <item x="14"/>
        <item x="417"/>
        <item x="310"/>
        <item x="460"/>
        <item x="342"/>
        <item x="19"/>
        <item x="382"/>
        <item x="340"/>
        <item x="315"/>
        <item x="237"/>
        <item x="464"/>
        <item x="135"/>
        <item x="260"/>
        <item x="264"/>
        <item x="424"/>
        <item x="394"/>
        <item x="182"/>
        <item x="23"/>
        <item x="465"/>
        <item x="62"/>
        <item x="134"/>
        <item x="221"/>
        <item x="235"/>
        <item x="6"/>
        <item x="330"/>
        <item x="359"/>
        <item x="328"/>
        <item x="435"/>
        <item x="416"/>
        <item x="27"/>
        <item x="170"/>
        <item x="147"/>
        <item x="227"/>
        <item x="7"/>
        <item x="400"/>
        <item x="128"/>
        <item x="37"/>
        <item x="314"/>
        <item x="140"/>
        <item x="35"/>
        <item x="375"/>
        <item x="428"/>
        <item x="177"/>
        <item x="100"/>
        <item x="452"/>
        <item x="157"/>
        <item x="162"/>
        <item x="479"/>
        <item x="377"/>
        <item x="439"/>
        <item x="120"/>
        <item x="414"/>
        <item x="30"/>
        <item x="215"/>
        <item x="258"/>
        <item x="240"/>
        <item x="293"/>
        <item x="124"/>
        <item x="494"/>
        <item x="201"/>
        <item x="29"/>
        <item x="268"/>
        <item x="42"/>
        <item x="108"/>
        <item x="26"/>
        <item x="272"/>
        <item x="188"/>
        <item x="53"/>
        <item x="444"/>
        <item x="246"/>
        <item x="461"/>
        <item x="324"/>
        <item x="61"/>
        <item x="186"/>
        <item x="466"/>
        <item x="358"/>
        <item x="144"/>
        <item x="429"/>
        <item x="97"/>
        <item x="123"/>
        <item x="39"/>
        <item x="283"/>
        <item x="397"/>
        <item x="278"/>
        <item x="399"/>
        <item x="139"/>
        <item x="332"/>
        <item x="275"/>
        <item x="111"/>
        <item x="228"/>
        <item x="176"/>
        <item x="167"/>
        <item x="349"/>
        <item x="220"/>
        <item x="325"/>
        <item x="180"/>
        <item x="32"/>
        <item x="431"/>
        <item x="252"/>
        <item x="318"/>
        <item x="404"/>
        <item x="82"/>
        <item x="57"/>
        <item x="98"/>
        <item x="296"/>
        <item x="73"/>
        <item x="172"/>
        <item x="442"/>
        <item x="390"/>
        <item x="84"/>
        <item x="257"/>
        <item x="420"/>
        <item x="59"/>
        <item x="263"/>
        <item x="80"/>
        <item x="319"/>
        <item x="210"/>
        <item x="488"/>
        <item x="121"/>
        <item x="305"/>
        <item x="138"/>
        <item x="387"/>
        <item x="224"/>
        <item x="307"/>
        <item x="189"/>
        <item x="238"/>
        <item x="146"/>
        <item x="17"/>
        <item x="152"/>
        <item x="95"/>
        <item x="163"/>
        <item x="295"/>
        <item x="450"/>
        <item x="166"/>
        <item x="122"/>
        <item x="38"/>
        <item x="477"/>
        <item x="184"/>
        <item x="320"/>
        <item x="481"/>
        <item x="209"/>
        <item x="78"/>
        <item x="376"/>
        <item x="174"/>
        <item x="485"/>
        <item x="469"/>
        <item x="132"/>
        <item x="351"/>
        <item x="476"/>
        <item x="48"/>
        <item x="454"/>
        <item x="16"/>
        <item x="232"/>
        <item x="79"/>
        <item x="323"/>
        <item x="250"/>
        <item x="185"/>
        <item x="118"/>
        <item x="425"/>
        <item x="199"/>
        <item x="490"/>
        <item x="141"/>
        <item x="101"/>
        <item x="164"/>
        <item x="226"/>
        <item x="86"/>
        <item x="458"/>
        <item x="361"/>
        <item x="427"/>
        <item x="499"/>
        <item x="371"/>
        <item x="195"/>
        <item x="198"/>
        <item x="12"/>
        <item x="384"/>
        <item x="46"/>
        <item x="344"/>
        <item x="44"/>
        <item x="96"/>
        <item x="204"/>
        <item x="94"/>
        <item x="360"/>
        <item x="322"/>
        <item x="33"/>
        <item x="462"/>
        <item x="262"/>
        <item x="219"/>
        <item x="311"/>
        <item x="1"/>
        <item x="165"/>
        <item x="343"/>
        <item x="3"/>
        <item x="222"/>
        <item x="287"/>
        <item x="309"/>
        <item x="279"/>
        <item x="269"/>
        <item x="482"/>
        <item x="370"/>
        <item x="154"/>
        <item x="407"/>
        <item x="292"/>
        <item x="347"/>
        <item x="356"/>
        <item x="70"/>
        <item x="112"/>
        <item x="202"/>
        <item x="366"/>
        <item x="388"/>
        <item x="231"/>
        <item x="405"/>
        <item x="496"/>
        <item x="192"/>
        <item x="447"/>
        <item x="71"/>
        <item x="248"/>
        <item x="443"/>
        <item x="498"/>
        <item x="495"/>
        <item x="214"/>
        <item x="437"/>
        <item x="2"/>
        <item x="451"/>
        <item x="288"/>
        <item x="367"/>
        <item x="47"/>
        <item x="21"/>
        <item x="430"/>
        <item x="20"/>
        <item x="169"/>
        <item x="396"/>
        <item x="63"/>
        <item x="41"/>
        <item x="158"/>
        <item x="284"/>
        <item x="99"/>
        <item x="60"/>
        <item x="234"/>
        <item x="403"/>
        <item x="338"/>
        <item x="106"/>
        <item x="386"/>
        <item x="299"/>
        <item x="276"/>
        <item x="294"/>
        <item x="191"/>
        <item x="345"/>
        <item x="406"/>
        <item x="245"/>
        <item x="81"/>
        <item x="206"/>
        <item x="440"/>
        <item x="401"/>
        <item x="217"/>
        <item x="363"/>
        <item x="58"/>
        <item x="385"/>
        <item x="273"/>
        <item x="378"/>
        <item x="116"/>
        <item x="453"/>
        <item x="200"/>
        <item x="317"/>
        <item x="208"/>
        <item x="155"/>
        <item x="83"/>
        <item x="93"/>
        <item x="483"/>
        <item x="415"/>
        <item x="45"/>
        <item x="75"/>
        <item x="183"/>
        <item x="298"/>
        <item x="40"/>
        <item x="225"/>
        <item x="303"/>
        <item x="52"/>
        <item x="137"/>
        <item x="326"/>
        <item x="286"/>
        <item x="102"/>
        <item x="127"/>
        <item x="159"/>
        <item x="389"/>
        <item x="181"/>
        <item x="223"/>
        <item x="449"/>
        <item x="253"/>
        <item x="364"/>
        <item x="65"/>
        <item x="22"/>
        <item x="312"/>
        <item x="68"/>
        <item x="418"/>
        <item x="487"/>
        <item x="261"/>
        <item x="472"/>
        <item x="87"/>
        <item x="434"/>
        <item x="426"/>
        <item x="136"/>
        <item x="423"/>
        <item x="391"/>
        <item x="341"/>
        <item x="380"/>
        <item x="156"/>
        <item x="346"/>
        <item x="153"/>
        <item x="179"/>
        <item x="178"/>
        <item x="131"/>
        <item x="470"/>
        <item x="88"/>
        <item x="413"/>
        <item x="267"/>
        <item x="484"/>
        <item x="478"/>
        <item x="193"/>
        <item x="456"/>
        <item x="117"/>
        <item x="254"/>
        <item x="31"/>
        <item x="304"/>
        <item x="109"/>
        <item x="372"/>
        <item x="212"/>
        <item x="290"/>
        <item x="244"/>
        <item x="9"/>
        <item x="467"/>
        <item x="187"/>
        <item x="103"/>
        <item x="265"/>
        <item x="213"/>
        <item x="270"/>
        <item x="105"/>
        <item x="133"/>
        <item x="350"/>
        <item x="316"/>
        <item x="291"/>
        <item x="143"/>
        <item x="142"/>
        <item x="218"/>
        <item x="149"/>
        <item x="242"/>
        <item x="89"/>
        <item x="480"/>
        <item x="194"/>
        <item x="54"/>
        <item x="91"/>
        <item x="493"/>
        <item x="24"/>
        <item x="383"/>
        <item x="368"/>
        <item x="354"/>
        <item x="333"/>
        <item t="default"/>
      </items>
    </pivotField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_ID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Count_Disc_Coupon">
  <location ref="B153:C159" firstHeaderRow="1" firstDataRow="1" firstDataCol="1"/>
  <pivotFields count="28">
    <pivotField showAll="0"/>
    <pivotField showAll="0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</pivotField>
    <pivotField showAll="0"/>
    <pivotField showAll="0"/>
    <pivotField showAll="0"/>
    <pivotField showAll="0"/>
    <pivotField showAll="0">
      <items count="9">
        <item x="5"/>
        <item x="7"/>
        <item x="1"/>
        <item x="3"/>
        <item x="4"/>
        <item x="2"/>
        <item x="0"/>
        <item x="6"/>
        <item t="default"/>
      </items>
    </pivotField>
    <pivotField showAll="0"/>
    <pivotField showAll="0"/>
    <pivotField showAll="0"/>
    <pivotField numFmtId="164" showAll="0"/>
    <pivotField showAll="0"/>
    <pivotField showAll="0">
      <items count="51">
        <item x="30"/>
        <item x="48"/>
        <item x="14"/>
        <item x="27"/>
        <item x="40"/>
        <item x="38"/>
        <item x="8"/>
        <item x="15"/>
        <item x="32"/>
        <item x="29"/>
        <item x="47"/>
        <item x="16"/>
        <item x="42"/>
        <item x="12"/>
        <item x="1"/>
        <item x="37"/>
        <item x="36"/>
        <item x="20"/>
        <item x="31"/>
        <item x="28"/>
        <item x="23"/>
        <item x="0"/>
        <item x="2"/>
        <item x="13"/>
        <item x="39"/>
        <item x="19"/>
        <item x="24"/>
        <item x="17"/>
        <item x="45"/>
        <item x="18"/>
        <item x="3"/>
        <item x="43"/>
        <item x="7"/>
        <item x="6"/>
        <item x="41"/>
        <item x="21"/>
        <item x="25"/>
        <item x="33"/>
        <item x="11"/>
        <item x="44"/>
        <item x="26"/>
        <item x="9"/>
        <item x="4"/>
        <item x="46"/>
        <item x="49"/>
        <item x="5"/>
        <item x="10"/>
        <item x="34"/>
        <item x="35"/>
        <item x="22"/>
        <item t="default"/>
      </items>
    </pivotField>
    <pivotField showAll="0"/>
    <pivotField showAll="0"/>
    <pivotField dataField="1" showAll="0">
      <items count="6">
        <item x="2"/>
        <item x="4"/>
        <item x="1"/>
        <item x="3"/>
        <item x="0"/>
        <item t="default"/>
      </items>
    </pivotField>
    <pivotField axis="axisRow" numFmtId="167" showAll="0">
      <items count="6">
        <item x="2"/>
        <item x="0"/>
        <item x="4"/>
        <item x="1"/>
        <item x="3"/>
        <item t="default"/>
      </items>
    </pivotField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upon_Code" fld="15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:C6" firstHeaderRow="1" firstDataRow="1" firstDataCol="1"/>
  <pivotFields count="19">
    <pivotField axis="axisRow" showAll="0" measureFilter="1" sortType="descending">
      <items count="101">
        <item x="48"/>
        <item x="8"/>
        <item x="83"/>
        <item x="51"/>
        <item x="79"/>
        <item x="9"/>
        <item x="96"/>
        <item x="65"/>
        <item x="25"/>
        <item x="75"/>
        <item x="93"/>
        <item x="42"/>
        <item x="69"/>
        <item x="82"/>
        <item x="92"/>
        <item x="2"/>
        <item x="38"/>
        <item x="84"/>
        <item x="58"/>
        <item x="74"/>
        <item x="28"/>
        <item x="30"/>
        <item x="87"/>
        <item x="60"/>
        <item x="70"/>
        <item x="56"/>
        <item x="41"/>
        <item x="76"/>
        <item x="16"/>
        <item x="43"/>
        <item x="7"/>
        <item x="88"/>
        <item x="33"/>
        <item x="31"/>
        <item x="45"/>
        <item x="39"/>
        <item x="46"/>
        <item x="14"/>
        <item x="80"/>
        <item x="57"/>
        <item x="59"/>
        <item x="86"/>
        <item x="81"/>
        <item x="62"/>
        <item x="55"/>
        <item x="54"/>
        <item x="98"/>
        <item x="15"/>
        <item x="13"/>
        <item x="3"/>
        <item x="1"/>
        <item x="91"/>
        <item x="6"/>
        <item x="47"/>
        <item x="85"/>
        <item x="29"/>
        <item x="63"/>
        <item x="89"/>
        <item x="21"/>
        <item x="4"/>
        <item x="71"/>
        <item x="26"/>
        <item x="78"/>
        <item x="19"/>
        <item x="90"/>
        <item x="40"/>
        <item x="23"/>
        <item x="99"/>
        <item x="17"/>
        <item x="32"/>
        <item x="64"/>
        <item x="72"/>
        <item x="10"/>
        <item x="73"/>
        <item x="53"/>
        <item x="50"/>
        <item x="12"/>
        <item x="95"/>
        <item x="11"/>
        <item x="18"/>
        <item x="34"/>
        <item x="37"/>
        <item x="20"/>
        <item x="61"/>
        <item x="35"/>
        <item x="66"/>
        <item x="0"/>
        <item x="36"/>
        <item x="68"/>
        <item x="77"/>
        <item x="27"/>
        <item x="24"/>
        <item x="52"/>
        <item x="22"/>
        <item x="67"/>
        <item x="49"/>
        <item x="94"/>
        <item x="97"/>
        <item x="5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01">
        <item x="352"/>
        <item x="448"/>
        <item x="301"/>
        <item x="67"/>
        <item x="402"/>
        <item x="255"/>
        <item x="230"/>
        <item x="446"/>
        <item x="207"/>
        <item x="438"/>
        <item x="203"/>
        <item x="411"/>
        <item x="115"/>
        <item x="266"/>
        <item x="107"/>
        <item x="171"/>
        <item x="69"/>
        <item x="277"/>
        <item x="457"/>
        <item x="300"/>
        <item x="353"/>
        <item x="329"/>
        <item x="285"/>
        <item x="90"/>
        <item x="129"/>
        <item x="160"/>
        <item x="308"/>
        <item x="216"/>
        <item x="126"/>
        <item x="125"/>
        <item x="374"/>
        <item x="281"/>
        <item x="5"/>
        <item x="259"/>
        <item x="76"/>
        <item x="72"/>
        <item x="243"/>
        <item x="395"/>
        <item x="313"/>
        <item x="422"/>
        <item x="168"/>
        <item x="355"/>
        <item x="110"/>
        <item x="148"/>
        <item x="302"/>
        <item x="436"/>
        <item x="18"/>
        <item x="173"/>
        <item x="441"/>
        <item x="445"/>
        <item x="419"/>
        <item x="334"/>
        <item x="432"/>
        <item x="474"/>
        <item x="196"/>
        <item x="398"/>
        <item x="335"/>
        <item x="463"/>
        <item x="247"/>
        <item x="10"/>
        <item x="15"/>
        <item x="51"/>
        <item x="339"/>
        <item x="475"/>
        <item x="468"/>
        <item x="409"/>
        <item x="379"/>
        <item x="256"/>
        <item x="25"/>
        <item x="55"/>
        <item x="77"/>
        <item x="50"/>
        <item x="348"/>
        <item x="433"/>
        <item x="473"/>
        <item x="239"/>
        <item x="241"/>
        <item x="274"/>
        <item x="459"/>
        <item x="362"/>
        <item x="161"/>
        <item x="369"/>
        <item x="0"/>
        <item x="321"/>
        <item x="337"/>
        <item x="114"/>
        <item x="365"/>
        <item x="392"/>
        <item x="306"/>
        <item x="455"/>
        <item x="249"/>
        <item x="336"/>
        <item x="175"/>
        <item x="66"/>
        <item x="34"/>
        <item x="236"/>
        <item x="130"/>
        <item x="471"/>
        <item x="327"/>
        <item x="4"/>
        <item x="28"/>
        <item x="421"/>
        <item x="491"/>
        <item x="357"/>
        <item x="205"/>
        <item x="211"/>
        <item x="282"/>
        <item x="229"/>
        <item x="56"/>
        <item x="119"/>
        <item x="64"/>
        <item x="393"/>
        <item x="486"/>
        <item x="190"/>
        <item x="11"/>
        <item x="85"/>
        <item x="297"/>
        <item x="289"/>
        <item x="373"/>
        <item x="145"/>
        <item x="492"/>
        <item x="43"/>
        <item x="92"/>
        <item x="271"/>
        <item x="497"/>
        <item x="410"/>
        <item x="197"/>
        <item x="74"/>
        <item x="151"/>
        <item x="251"/>
        <item x="489"/>
        <item x="36"/>
        <item x="13"/>
        <item x="381"/>
        <item x="8"/>
        <item x="233"/>
        <item x="412"/>
        <item x="150"/>
        <item x="113"/>
        <item x="280"/>
        <item x="104"/>
        <item x="49"/>
        <item x="408"/>
        <item x="331"/>
        <item x="14"/>
        <item x="417"/>
        <item x="310"/>
        <item x="460"/>
        <item x="342"/>
        <item x="19"/>
        <item x="382"/>
        <item x="340"/>
        <item x="315"/>
        <item x="237"/>
        <item x="464"/>
        <item x="135"/>
        <item x="260"/>
        <item x="264"/>
        <item x="424"/>
        <item x="394"/>
        <item x="182"/>
        <item x="23"/>
        <item x="465"/>
        <item x="62"/>
        <item x="134"/>
        <item x="221"/>
        <item x="235"/>
        <item x="6"/>
        <item x="330"/>
        <item x="359"/>
        <item x="328"/>
        <item x="435"/>
        <item x="416"/>
        <item x="27"/>
        <item x="170"/>
        <item x="147"/>
        <item x="227"/>
        <item x="7"/>
        <item x="400"/>
        <item x="128"/>
        <item x="37"/>
        <item x="314"/>
        <item x="140"/>
        <item x="35"/>
        <item x="375"/>
        <item x="428"/>
        <item x="177"/>
        <item x="100"/>
        <item x="452"/>
        <item x="157"/>
        <item x="162"/>
        <item x="479"/>
        <item x="377"/>
        <item x="439"/>
        <item x="120"/>
        <item x="414"/>
        <item x="30"/>
        <item x="215"/>
        <item x="258"/>
        <item x="240"/>
        <item x="293"/>
        <item x="124"/>
        <item x="494"/>
        <item x="201"/>
        <item x="29"/>
        <item x="268"/>
        <item x="42"/>
        <item x="108"/>
        <item x="26"/>
        <item x="272"/>
        <item x="188"/>
        <item x="53"/>
        <item x="444"/>
        <item x="246"/>
        <item x="461"/>
        <item x="324"/>
        <item x="61"/>
        <item x="186"/>
        <item x="466"/>
        <item x="358"/>
        <item x="144"/>
        <item x="429"/>
        <item x="97"/>
        <item x="123"/>
        <item x="39"/>
        <item x="283"/>
        <item x="397"/>
        <item x="278"/>
        <item x="399"/>
        <item x="139"/>
        <item x="332"/>
        <item x="275"/>
        <item x="111"/>
        <item x="228"/>
        <item x="176"/>
        <item x="167"/>
        <item x="349"/>
        <item x="220"/>
        <item x="325"/>
        <item x="180"/>
        <item x="32"/>
        <item x="431"/>
        <item x="252"/>
        <item x="318"/>
        <item x="404"/>
        <item x="82"/>
        <item x="57"/>
        <item x="98"/>
        <item x="296"/>
        <item x="73"/>
        <item x="172"/>
        <item x="442"/>
        <item x="390"/>
        <item x="84"/>
        <item x="257"/>
        <item x="420"/>
        <item x="59"/>
        <item x="263"/>
        <item x="80"/>
        <item x="319"/>
        <item x="210"/>
        <item x="488"/>
        <item x="121"/>
        <item x="305"/>
        <item x="138"/>
        <item x="387"/>
        <item x="224"/>
        <item x="307"/>
        <item x="189"/>
        <item x="238"/>
        <item x="146"/>
        <item x="17"/>
        <item x="152"/>
        <item x="95"/>
        <item x="163"/>
        <item x="295"/>
        <item x="450"/>
        <item x="166"/>
        <item x="122"/>
        <item x="38"/>
        <item x="477"/>
        <item x="184"/>
        <item x="320"/>
        <item x="481"/>
        <item x="209"/>
        <item x="78"/>
        <item x="376"/>
        <item x="174"/>
        <item x="485"/>
        <item x="469"/>
        <item x="132"/>
        <item x="351"/>
        <item x="476"/>
        <item x="48"/>
        <item x="454"/>
        <item x="16"/>
        <item x="232"/>
        <item x="79"/>
        <item x="323"/>
        <item x="250"/>
        <item x="185"/>
        <item x="118"/>
        <item x="425"/>
        <item x="199"/>
        <item x="490"/>
        <item x="141"/>
        <item x="101"/>
        <item x="164"/>
        <item x="226"/>
        <item x="86"/>
        <item x="458"/>
        <item x="361"/>
        <item x="427"/>
        <item x="499"/>
        <item x="371"/>
        <item x="195"/>
        <item x="198"/>
        <item x="12"/>
        <item x="384"/>
        <item x="46"/>
        <item x="344"/>
        <item x="44"/>
        <item x="96"/>
        <item x="204"/>
        <item x="94"/>
        <item x="360"/>
        <item x="322"/>
        <item x="33"/>
        <item x="462"/>
        <item x="262"/>
        <item x="219"/>
        <item x="311"/>
        <item x="1"/>
        <item x="165"/>
        <item x="343"/>
        <item x="3"/>
        <item x="222"/>
        <item x="287"/>
        <item x="309"/>
        <item x="279"/>
        <item x="269"/>
        <item x="482"/>
        <item x="370"/>
        <item x="154"/>
        <item x="407"/>
        <item x="292"/>
        <item x="347"/>
        <item x="356"/>
        <item x="70"/>
        <item x="112"/>
        <item x="202"/>
        <item x="366"/>
        <item x="388"/>
        <item x="231"/>
        <item x="405"/>
        <item x="496"/>
        <item x="192"/>
        <item x="447"/>
        <item x="71"/>
        <item x="248"/>
        <item x="443"/>
        <item x="498"/>
        <item x="495"/>
        <item x="214"/>
        <item x="437"/>
        <item x="2"/>
        <item x="451"/>
        <item x="288"/>
        <item x="367"/>
        <item x="47"/>
        <item x="21"/>
        <item x="430"/>
        <item x="20"/>
        <item x="169"/>
        <item x="396"/>
        <item x="63"/>
        <item x="41"/>
        <item x="158"/>
        <item x="284"/>
        <item x="99"/>
        <item x="60"/>
        <item x="234"/>
        <item x="403"/>
        <item x="338"/>
        <item x="106"/>
        <item x="386"/>
        <item x="299"/>
        <item x="276"/>
        <item x="294"/>
        <item x="191"/>
        <item x="345"/>
        <item x="406"/>
        <item x="245"/>
        <item x="81"/>
        <item x="206"/>
        <item x="440"/>
        <item x="401"/>
        <item x="217"/>
        <item x="363"/>
        <item x="58"/>
        <item x="385"/>
        <item x="273"/>
        <item x="378"/>
        <item x="116"/>
        <item x="453"/>
        <item x="200"/>
        <item x="317"/>
        <item x="208"/>
        <item x="155"/>
        <item x="83"/>
        <item x="93"/>
        <item x="483"/>
        <item x="415"/>
        <item x="45"/>
        <item x="75"/>
        <item x="183"/>
        <item x="298"/>
        <item x="40"/>
        <item x="225"/>
        <item x="303"/>
        <item x="52"/>
        <item x="137"/>
        <item x="326"/>
        <item x="286"/>
        <item x="102"/>
        <item x="127"/>
        <item x="159"/>
        <item x="389"/>
        <item x="181"/>
        <item x="223"/>
        <item x="449"/>
        <item x="253"/>
        <item x="364"/>
        <item x="65"/>
        <item x="22"/>
        <item x="312"/>
        <item x="68"/>
        <item x="418"/>
        <item x="487"/>
        <item x="261"/>
        <item x="472"/>
        <item x="87"/>
        <item x="434"/>
        <item x="426"/>
        <item x="136"/>
        <item x="423"/>
        <item x="391"/>
        <item x="341"/>
        <item x="380"/>
        <item x="156"/>
        <item x="346"/>
        <item x="153"/>
        <item x="179"/>
        <item x="178"/>
        <item x="131"/>
        <item x="470"/>
        <item x="88"/>
        <item x="413"/>
        <item x="267"/>
        <item x="484"/>
        <item x="478"/>
        <item x="193"/>
        <item x="456"/>
        <item x="117"/>
        <item x="254"/>
        <item x="31"/>
        <item x="304"/>
        <item x="109"/>
        <item x="372"/>
        <item x="212"/>
        <item x="290"/>
        <item x="244"/>
        <item x="9"/>
        <item x="467"/>
        <item x="187"/>
        <item x="103"/>
        <item x="265"/>
        <item x="213"/>
        <item x="270"/>
        <item x="105"/>
        <item x="133"/>
        <item x="350"/>
        <item x="316"/>
        <item x="291"/>
        <item x="143"/>
        <item x="142"/>
        <item x="218"/>
        <item x="149"/>
        <item x="242"/>
        <item x="89"/>
        <item x="480"/>
        <item x="194"/>
        <item x="54"/>
        <item x="91"/>
        <item x="493"/>
        <item x="24"/>
        <item x="383"/>
        <item x="368"/>
        <item x="354"/>
        <item x="33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0"/>
  </rowFields>
  <rowItems count="3">
    <i>
      <x v="74"/>
    </i>
    <i>
      <x v="62"/>
    </i>
    <i t="grand">
      <x/>
    </i>
  </rowItems>
  <colItems count="1">
    <i/>
  </colItems>
  <dataFields count="1">
    <dataField name="Count of Order_ID" fld="8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B172:C177" firstHeaderRow="1" firstDataRow="1" firstDataCol="1"/>
  <pivotFields count="26"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ount of SALES" fld="2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51:C62" firstHeaderRow="1" firstDataRow="1" firstDataCol="1"/>
  <pivotFields count="28">
    <pivotField showAll="0"/>
    <pivotField axis="axisRow" showAll="0" measureFilter="1" sortType="descending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 v="47"/>
    </i>
    <i>
      <x v="61"/>
    </i>
    <i>
      <x v="72"/>
    </i>
    <i>
      <x v="73"/>
    </i>
    <i>
      <x v="46"/>
    </i>
    <i>
      <x v="63"/>
    </i>
    <i>
      <x v="7"/>
    </i>
    <i>
      <x v="56"/>
    </i>
    <i>
      <x v="48"/>
    </i>
    <i>
      <x v="17"/>
    </i>
    <i t="grand">
      <x/>
    </i>
  </rowItems>
  <colItems count="1">
    <i/>
  </colItems>
  <dataFields count="1">
    <dataField name="Sum of Revnue(Sales-disc)" fld="26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7:C10" firstHeaderRow="1" firstDataRow="1" firstDataCol="1"/>
  <pivotFields count="19">
    <pivotField axis="axisRow" showAll="0" measureFilter="1" sortType="descending">
      <items count="101">
        <item x="48"/>
        <item x="8"/>
        <item x="83"/>
        <item x="51"/>
        <item x="79"/>
        <item x="9"/>
        <item x="96"/>
        <item x="65"/>
        <item x="25"/>
        <item x="75"/>
        <item x="93"/>
        <item x="42"/>
        <item x="69"/>
        <item x="82"/>
        <item x="92"/>
        <item x="2"/>
        <item x="38"/>
        <item x="84"/>
        <item x="58"/>
        <item x="74"/>
        <item x="28"/>
        <item x="30"/>
        <item x="87"/>
        <item x="60"/>
        <item x="70"/>
        <item x="56"/>
        <item x="41"/>
        <item x="76"/>
        <item x="16"/>
        <item x="43"/>
        <item x="7"/>
        <item x="88"/>
        <item x="33"/>
        <item x="31"/>
        <item x="45"/>
        <item x="39"/>
        <item x="46"/>
        <item x="14"/>
        <item x="80"/>
        <item x="57"/>
        <item x="59"/>
        <item x="86"/>
        <item x="81"/>
        <item x="62"/>
        <item x="55"/>
        <item x="54"/>
        <item x="98"/>
        <item x="15"/>
        <item x="13"/>
        <item x="3"/>
        <item x="1"/>
        <item x="91"/>
        <item x="6"/>
        <item x="47"/>
        <item x="85"/>
        <item x="29"/>
        <item x="63"/>
        <item x="89"/>
        <item x="21"/>
        <item x="4"/>
        <item x="71"/>
        <item x="26"/>
        <item x="78"/>
        <item x="19"/>
        <item x="90"/>
        <item x="40"/>
        <item x="23"/>
        <item x="99"/>
        <item x="17"/>
        <item x="32"/>
        <item x="64"/>
        <item x="72"/>
        <item x="10"/>
        <item x="73"/>
        <item x="53"/>
        <item x="50"/>
        <item x="12"/>
        <item x="95"/>
        <item x="11"/>
        <item x="18"/>
        <item x="34"/>
        <item x="37"/>
        <item x="20"/>
        <item x="61"/>
        <item x="35"/>
        <item x="66"/>
        <item x="0"/>
        <item x="36"/>
        <item x="68"/>
        <item x="77"/>
        <item x="27"/>
        <item x="24"/>
        <item x="52"/>
        <item x="22"/>
        <item x="67"/>
        <item x="49"/>
        <item x="94"/>
        <item x="97"/>
        <item x="5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01">
        <item x="352"/>
        <item x="448"/>
        <item x="301"/>
        <item x="67"/>
        <item x="402"/>
        <item x="255"/>
        <item x="230"/>
        <item x="446"/>
        <item x="207"/>
        <item x="438"/>
        <item x="203"/>
        <item x="411"/>
        <item x="115"/>
        <item x="266"/>
        <item x="107"/>
        <item x="171"/>
        <item x="69"/>
        <item x="277"/>
        <item x="457"/>
        <item x="300"/>
        <item x="353"/>
        <item x="329"/>
        <item x="285"/>
        <item x="90"/>
        <item x="129"/>
        <item x="160"/>
        <item x="308"/>
        <item x="216"/>
        <item x="126"/>
        <item x="125"/>
        <item x="374"/>
        <item x="281"/>
        <item x="5"/>
        <item x="259"/>
        <item x="76"/>
        <item x="72"/>
        <item x="243"/>
        <item x="395"/>
        <item x="313"/>
        <item x="422"/>
        <item x="168"/>
        <item x="355"/>
        <item x="110"/>
        <item x="148"/>
        <item x="302"/>
        <item x="436"/>
        <item x="18"/>
        <item x="173"/>
        <item x="441"/>
        <item x="445"/>
        <item x="419"/>
        <item x="334"/>
        <item x="432"/>
        <item x="474"/>
        <item x="196"/>
        <item x="398"/>
        <item x="335"/>
        <item x="463"/>
        <item x="247"/>
        <item x="10"/>
        <item x="15"/>
        <item x="51"/>
        <item x="339"/>
        <item x="475"/>
        <item x="468"/>
        <item x="409"/>
        <item x="379"/>
        <item x="256"/>
        <item x="25"/>
        <item x="55"/>
        <item x="77"/>
        <item x="50"/>
        <item x="348"/>
        <item x="433"/>
        <item x="473"/>
        <item x="239"/>
        <item x="241"/>
        <item x="274"/>
        <item x="459"/>
        <item x="362"/>
        <item x="161"/>
        <item x="369"/>
        <item x="0"/>
        <item x="321"/>
        <item x="337"/>
        <item x="114"/>
        <item x="365"/>
        <item x="392"/>
        <item x="306"/>
        <item x="455"/>
        <item x="249"/>
        <item x="336"/>
        <item x="175"/>
        <item x="66"/>
        <item x="34"/>
        <item x="236"/>
        <item x="130"/>
        <item x="471"/>
        <item x="327"/>
        <item x="4"/>
        <item x="28"/>
        <item x="421"/>
        <item x="491"/>
        <item x="357"/>
        <item x="205"/>
        <item x="211"/>
        <item x="282"/>
        <item x="229"/>
        <item x="56"/>
        <item x="119"/>
        <item x="64"/>
        <item x="393"/>
        <item x="486"/>
        <item x="190"/>
        <item x="11"/>
        <item x="85"/>
        <item x="297"/>
        <item x="289"/>
        <item x="373"/>
        <item x="145"/>
        <item x="492"/>
        <item x="43"/>
        <item x="92"/>
        <item x="271"/>
        <item x="497"/>
        <item x="410"/>
        <item x="197"/>
        <item x="74"/>
        <item x="151"/>
        <item x="251"/>
        <item x="489"/>
        <item x="36"/>
        <item x="13"/>
        <item x="381"/>
        <item x="8"/>
        <item x="233"/>
        <item x="412"/>
        <item x="150"/>
        <item x="113"/>
        <item x="280"/>
        <item x="104"/>
        <item x="49"/>
        <item x="408"/>
        <item x="331"/>
        <item x="14"/>
        <item x="417"/>
        <item x="310"/>
        <item x="460"/>
        <item x="342"/>
        <item x="19"/>
        <item x="382"/>
        <item x="340"/>
        <item x="315"/>
        <item x="237"/>
        <item x="464"/>
        <item x="135"/>
        <item x="260"/>
        <item x="264"/>
        <item x="424"/>
        <item x="394"/>
        <item x="182"/>
        <item x="23"/>
        <item x="465"/>
        <item x="62"/>
        <item x="134"/>
        <item x="221"/>
        <item x="235"/>
        <item x="6"/>
        <item x="330"/>
        <item x="359"/>
        <item x="328"/>
        <item x="435"/>
        <item x="416"/>
        <item x="27"/>
        <item x="170"/>
        <item x="147"/>
        <item x="227"/>
        <item x="7"/>
        <item x="400"/>
        <item x="128"/>
        <item x="37"/>
        <item x="314"/>
        <item x="140"/>
        <item x="35"/>
        <item x="375"/>
        <item x="428"/>
        <item x="177"/>
        <item x="100"/>
        <item x="452"/>
        <item x="157"/>
        <item x="162"/>
        <item x="479"/>
        <item x="377"/>
        <item x="439"/>
        <item x="120"/>
        <item x="414"/>
        <item x="30"/>
        <item x="215"/>
        <item x="258"/>
        <item x="240"/>
        <item x="293"/>
        <item x="124"/>
        <item x="494"/>
        <item x="201"/>
        <item x="29"/>
        <item x="268"/>
        <item x="42"/>
        <item x="108"/>
        <item x="26"/>
        <item x="272"/>
        <item x="188"/>
        <item x="53"/>
        <item x="444"/>
        <item x="246"/>
        <item x="461"/>
        <item x="324"/>
        <item x="61"/>
        <item x="186"/>
        <item x="466"/>
        <item x="358"/>
        <item x="144"/>
        <item x="429"/>
        <item x="97"/>
        <item x="123"/>
        <item x="39"/>
        <item x="283"/>
        <item x="397"/>
        <item x="278"/>
        <item x="399"/>
        <item x="139"/>
        <item x="332"/>
        <item x="275"/>
        <item x="111"/>
        <item x="228"/>
        <item x="176"/>
        <item x="167"/>
        <item x="349"/>
        <item x="220"/>
        <item x="325"/>
        <item x="180"/>
        <item x="32"/>
        <item x="431"/>
        <item x="252"/>
        <item x="318"/>
        <item x="404"/>
        <item x="82"/>
        <item x="57"/>
        <item x="98"/>
        <item x="296"/>
        <item x="73"/>
        <item x="172"/>
        <item x="442"/>
        <item x="390"/>
        <item x="84"/>
        <item x="257"/>
        <item x="420"/>
        <item x="59"/>
        <item x="263"/>
        <item x="80"/>
        <item x="319"/>
        <item x="210"/>
        <item x="488"/>
        <item x="121"/>
        <item x="305"/>
        <item x="138"/>
        <item x="387"/>
        <item x="224"/>
        <item x="307"/>
        <item x="189"/>
        <item x="238"/>
        <item x="146"/>
        <item x="17"/>
        <item x="152"/>
        <item x="95"/>
        <item x="163"/>
        <item x="295"/>
        <item x="450"/>
        <item x="166"/>
        <item x="122"/>
        <item x="38"/>
        <item x="477"/>
        <item x="184"/>
        <item x="320"/>
        <item x="481"/>
        <item x="209"/>
        <item x="78"/>
        <item x="376"/>
        <item x="174"/>
        <item x="485"/>
        <item x="469"/>
        <item x="132"/>
        <item x="351"/>
        <item x="476"/>
        <item x="48"/>
        <item x="454"/>
        <item x="16"/>
        <item x="232"/>
        <item x="79"/>
        <item x="323"/>
        <item x="250"/>
        <item x="185"/>
        <item x="118"/>
        <item x="425"/>
        <item x="199"/>
        <item x="490"/>
        <item x="141"/>
        <item x="101"/>
        <item x="164"/>
        <item x="226"/>
        <item x="86"/>
        <item x="458"/>
        <item x="361"/>
        <item x="427"/>
        <item x="499"/>
        <item x="371"/>
        <item x="195"/>
        <item x="198"/>
        <item x="12"/>
        <item x="384"/>
        <item x="46"/>
        <item x="344"/>
        <item x="44"/>
        <item x="96"/>
        <item x="204"/>
        <item x="94"/>
        <item x="360"/>
        <item x="322"/>
        <item x="33"/>
        <item x="462"/>
        <item x="262"/>
        <item x="219"/>
        <item x="311"/>
        <item x="1"/>
        <item x="165"/>
        <item x="343"/>
        <item x="3"/>
        <item x="222"/>
        <item x="287"/>
        <item x="309"/>
        <item x="279"/>
        <item x="269"/>
        <item x="482"/>
        <item x="370"/>
        <item x="154"/>
        <item x="407"/>
        <item x="292"/>
        <item x="347"/>
        <item x="356"/>
        <item x="70"/>
        <item x="112"/>
        <item x="202"/>
        <item x="366"/>
        <item x="388"/>
        <item x="231"/>
        <item x="405"/>
        <item x="496"/>
        <item x="192"/>
        <item x="447"/>
        <item x="71"/>
        <item x="248"/>
        <item x="443"/>
        <item x="498"/>
        <item x="495"/>
        <item x="214"/>
        <item x="437"/>
        <item x="2"/>
        <item x="451"/>
        <item x="288"/>
        <item x="367"/>
        <item x="47"/>
        <item x="21"/>
        <item x="430"/>
        <item x="20"/>
        <item x="169"/>
        <item x="396"/>
        <item x="63"/>
        <item x="41"/>
        <item x="158"/>
        <item x="284"/>
        <item x="99"/>
        <item x="60"/>
        <item x="234"/>
        <item x="403"/>
        <item x="338"/>
        <item x="106"/>
        <item x="386"/>
        <item x="299"/>
        <item x="276"/>
        <item x="294"/>
        <item x="191"/>
        <item x="345"/>
        <item x="406"/>
        <item x="245"/>
        <item x="81"/>
        <item x="206"/>
        <item x="440"/>
        <item x="401"/>
        <item x="217"/>
        <item x="363"/>
        <item x="58"/>
        <item x="385"/>
        <item x="273"/>
        <item x="378"/>
        <item x="116"/>
        <item x="453"/>
        <item x="200"/>
        <item x="317"/>
        <item x="208"/>
        <item x="155"/>
        <item x="83"/>
        <item x="93"/>
        <item x="483"/>
        <item x="415"/>
        <item x="45"/>
        <item x="75"/>
        <item x="183"/>
        <item x="298"/>
        <item x="40"/>
        <item x="225"/>
        <item x="303"/>
        <item x="52"/>
        <item x="137"/>
        <item x="326"/>
        <item x="286"/>
        <item x="102"/>
        <item x="127"/>
        <item x="159"/>
        <item x="389"/>
        <item x="181"/>
        <item x="223"/>
        <item x="449"/>
        <item x="253"/>
        <item x="364"/>
        <item x="65"/>
        <item x="22"/>
        <item x="312"/>
        <item x="68"/>
        <item x="418"/>
        <item x="487"/>
        <item x="261"/>
        <item x="472"/>
        <item x="87"/>
        <item x="434"/>
        <item x="426"/>
        <item x="136"/>
        <item x="423"/>
        <item x="391"/>
        <item x="341"/>
        <item x="380"/>
        <item x="156"/>
        <item x="346"/>
        <item x="153"/>
        <item x="179"/>
        <item x="178"/>
        <item x="131"/>
        <item x="470"/>
        <item x="88"/>
        <item x="413"/>
        <item x="267"/>
        <item x="484"/>
        <item x="478"/>
        <item x="193"/>
        <item x="456"/>
        <item x="117"/>
        <item x="254"/>
        <item x="31"/>
        <item x="304"/>
        <item x="109"/>
        <item x="372"/>
        <item x="212"/>
        <item x="290"/>
        <item x="244"/>
        <item x="9"/>
        <item x="467"/>
        <item x="187"/>
        <item x="103"/>
        <item x="265"/>
        <item x="213"/>
        <item x="270"/>
        <item x="105"/>
        <item x="133"/>
        <item x="350"/>
        <item x="316"/>
        <item x="291"/>
        <item x="143"/>
        <item x="142"/>
        <item x="218"/>
        <item x="149"/>
        <item x="242"/>
        <item x="89"/>
        <item x="480"/>
        <item x="194"/>
        <item x="54"/>
        <item x="91"/>
        <item x="493"/>
        <item x="24"/>
        <item x="383"/>
        <item x="368"/>
        <item x="354"/>
        <item x="333"/>
        <item t="default"/>
      </items>
    </pivotField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</pivotFields>
  <rowFields count="1">
    <field x="0"/>
  </rowFields>
  <rowItems count="3">
    <i>
      <x v="74"/>
    </i>
    <i>
      <x v="65"/>
    </i>
    <i t="grand">
      <x/>
    </i>
  </rowItems>
  <colItems count="1">
    <i/>
  </colItems>
  <dataFields count="1">
    <dataField name="Sum of Price" fld="12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bottom5 products">
  <location ref="E144:F150" firstHeaderRow="1" firstDataRow="1" firstDataCol="1"/>
  <pivotFields count="28">
    <pivotField showAll="0"/>
    <pivotField showAll="0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</pivotField>
    <pivotField showAll="0"/>
    <pivotField showAll="0"/>
    <pivotField showAll="0"/>
    <pivotField showAll="0"/>
    <pivotField showAll="0">
      <items count="9">
        <item x="5"/>
        <item x="7"/>
        <item x="1"/>
        <item x="3"/>
        <item x="4"/>
        <item x="2"/>
        <item x="0"/>
        <item x="6"/>
        <item t="default"/>
      </items>
    </pivotField>
    <pivotField showAll="0"/>
    <pivotField showAll="0"/>
    <pivotField showAll="0"/>
    <pivotField numFmtId="164" showAll="0"/>
    <pivotField showAll="0"/>
    <pivotField axis="axisRow" showAll="0" measureFilter="1" sortType="ascending">
      <items count="51">
        <item x="30"/>
        <item x="48"/>
        <item x="14"/>
        <item x="27"/>
        <item x="40"/>
        <item x="38"/>
        <item x="8"/>
        <item x="15"/>
        <item x="32"/>
        <item x="29"/>
        <item x="47"/>
        <item x="16"/>
        <item x="42"/>
        <item x="12"/>
        <item x="1"/>
        <item x="37"/>
        <item x="36"/>
        <item x="20"/>
        <item x="31"/>
        <item x="28"/>
        <item x="23"/>
        <item x="0"/>
        <item x="2"/>
        <item x="13"/>
        <item x="39"/>
        <item x="19"/>
        <item x="24"/>
        <item x="17"/>
        <item x="45"/>
        <item x="18"/>
        <item x="3"/>
        <item x="43"/>
        <item x="7"/>
        <item x="6"/>
        <item x="41"/>
        <item x="21"/>
        <item x="25"/>
        <item x="33"/>
        <item x="11"/>
        <item x="44"/>
        <item x="26"/>
        <item x="9"/>
        <item x="4"/>
        <item x="46"/>
        <item x="49"/>
        <item x="5"/>
        <item x="10"/>
        <item x="34"/>
        <item x="35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6">
    <i>
      <x v="43"/>
    </i>
    <i>
      <x v="2"/>
    </i>
    <i>
      <x v="44"/>
    </i>
    <i>
      <x v="9"/>
    </i>
    <i>
      <x v="32"/>
    </i>
    <i t="grand">
      <x/>
    </i>
  </rowItems>
  <colItems count="1">
    <i/>
  </colItems>
  <dataFields count="1">
    <dataField name="Low_ SALES" fld="27" baseField="12" baseItem="43"/>
  </dataFields>
  <pivotTableStyleInfo name="PivotStyleLight16" showRowHeaders="1" showColHeaders="1" showRowStripes="0" showColStripes="0" showLastColumn="1"/>
  <filters count="1">
    <filter fld="12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B64:D115" firstHeaderRow="0" firstDataRow="1" firstDataCol="1"/>
  <pivotFields count="28">
    <pivotField showAll="0"/>
    <pivotField showAll="0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dataField="1" showAll="0" countASubtotal="1">
      <items count="51">
        <item x="30"/>
        <item x="48"/>
        <item x="14"/>
        <item x="27"/>
        <item x="40"/>
        <item x="38"/>
        <item x="8"/>
        <item x="15"/>
        <item x="32"/>
        <item x="29"/>
        <item x="47"/>
        <item x="16"/>
        <item x="42"/>
        <item x="12"/>
        <item x="1"/>
        <item x="37"/>
        <item x="36"/>
        <item x="20"/>
        <item x="31"/>
        <item x="28"/>
        <item x="23"/>
        <item x="0"/>
        <item x="2"/>
        <item x="13"/>
        <item x="39"/>
        <item x="19"/>
        <item x="24"/>
        <item x="17"/>
        <item x="45"/>
        <item x="18"/>
        <item x="3"/>
        <item x="43"/>
        <item x="7"/>
        <item x="6"/>
        <item x="41"/>
        <item x="21"/>
        <item x="25"/>
        <item x="33"/>
        <item x="11"/>
        <item x="44"/>
        <item x="26"/>
        <item x="9"/>
        <item x="4"/>
        <item x="46"/>
        <item x="49"/>
        <item x="5"/>
        <item x="10"/>
        <item x="34"/>
        <item x="35"/>
        <item x="22"/>
        <item t="countA"/>
      </items>
    </pivotField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12" subtotal="count" baseField="0" baseItem="0"/>
    <dataField name="Per_Product_ID" fld="12" subtotal="count" showDataAs="percentOfTotal" baseField="0" baseItem="0" numFmtId="10"/>
  </dataFields>
  <chartFormats count="10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0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0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0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08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109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0" format="1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1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1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0" format="1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0" format="1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0" format="1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4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5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6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7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8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9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0"/>
          </reference>
        </references>
      </pivotArea>
    </chartFormat>
    <chartFormat chart="0" format="13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1"/>
          </reference>
        </references>
      </pivotArea>
    </chartFormat>
    <chartFormat chart="0" format="13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2"/>
          </reference>
        </references>
      </pivotArea>
    </chartFormat>
    <chartFormat chart="0" format="13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"/>
          </reference>
        </references>
      </pivotArea>
    </chartFormat>
    <chartFormat chart="0" format="13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4"/>
          </reference>
        </references>
      </pivotArea>
    </chartFormat>
    <chartFormat chart="0" format="13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5"/>
          </reference>
        </references>
      </pivotArea>
    </chartFormat>
    <chartFormat chart="0" format="13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6"/>
          </reference>
        </references>
      </pivotArea>
    </chartFormat>
    <chartFormat chart="0" format="13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7"/>
          </reference>
        </references>
      </pivotArea>
    </chartFormat>
    <chartFormat chart="0" format="14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8"/>
          </reference>
        </references>
      </pivotArea>
    </chartFormat>
    <chartFormat chart="0" format="14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9"/>
          </reference>
        </references>
      </pivotArea>
    </chartFormat>
    <chartFormat chart="0" format="14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0"/>
          </reference>
        </references>
      </pivotArea>
    </chartFormat>
    <chartFormat chart="0" format="14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1"/>
          </reference>
        </references>
      </pivotArea>
    </chartFormat>
    <chartFormat chart="0" format="14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2"/>
          </reference>
        </references>
      </pivotArea>
    </chartFormat>
    <chartFormat chart="0" format="14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3"/>
          </reference>
        </references>
      </pivotArea>
    </chartFormat>
    <chartFormat chart="0" format="14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4"/>
          </reference>
        </references>
      </pivotArea>
    </chartFormat>
    <chartFormat chart="0" format="14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5"/>
          </reference>
        </references>
      </pivotArea>
    </chartFormat>
    <chartFormat chart="0" format="148">
      <pivotArea type="data" outline="0" fieldPosition="0">
        <references count="2">
          <reference field="4294967294" count="1" selected="0">
            <x v="0"/>
          </reference>
          <reference field="12" count="1" selected="0">
            <x v="46"/>
          </reference>
        </references>
      </pivotArea>
    </chartFormat>
    <chartFormat chart="0" format="14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7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0"/>
          </reference>
          <reference field="12" count="1" selected="0">
            <x v="48"/>
          </reference>
        </references>
      </pivotArea>
    </chartFormat>
    <chartFormat chart="0" format="15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9"/>
          </reference>
        </references>
      </pivotArea>
    </chartFormat>
    <chartFormat chart="0" format="152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0" format="153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0" format="154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0" format="155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0" format="156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  <chartFormat chart="0" format="157">
      <pivotArea type="data" outline="0" fieldPosition="0">
        <references count="2">
          <reference field="4294967294" count="1" selected="0">
            <x v="1"/>
          </reference>
          <reference field="12" count="1" selected="0">
            <x v="5"/>
          </reference>
        </references>
      </pivotArea>
    </chartFormat>
    <chartFormat chart="0" format="158">
      <pivotArea type="data" outline="0" fieldPosition="0">
        <references count="2">
          <reference field="4294967294" count="1" selected="0">
            <x v="1"/>
          </reference>
          <reference field="12" count="1" selected="0">
            <x v="6"/>
          </reference>
        </references>
      </pivotArea>
    </chartFormat>
    <chartFormat chart="0" format="159">
      <pivotArea type="data" outline="0" fieldPosition="0">
        <references count="2">
          <reference field="4294967294" count="1" selected="0">
            <x v="1"/>
          </reference>
          <reference field="12" count="1" selected="0">
            <x v="7"/>
          </reference>
        </references>
      </pivotArea>
    </chartFormat>
    <chartFormat chart="0" format="160">
      <pivotArea type="data" outline="0" fieldPosition="0">
        <references count="2">
          <reference field="4294967294" count="1" selected="0">
            <x v="1"/>
          </reference>
          <reference field="12" count="1" selected="0">
            <x v="8"/>
          </reference>
        </references>
      </pivotArea>
    </chartFormat>
    <chartFormat chart="0" format="161">
      <pivotArea type="data" outline="0" fieldPosition="0">
        <references count="2">
          <reference field="4294967294" count="1" selected="0">
            <x v="1"/>
          </reference>
          <reference field="12" count="1" selected="0">
            <x v="9"/>
          </reference>
        </references>
      </pivotArea>
    </chartFormat>
    <chartFormat chart="0" format="162">
      <pivotArea type="data" outline="0" fieldPosition="0">
        <references count="2">
          <reference field="4294967294" count="1" selected="0">
            <x v="1"/>
          </reference>
          <reference field="12" count="1" selected="0">
            <x v="10"/>
          </reference>
        </references>
      </pivotArea>
    </chartFormat>
    <chartFormat chart="0" format="163">
      <pivotArea type="data" outline="0" fieldPosition="0">
        <references count="2">
          <reference field="4294967294" count="1" selected="0">
            <x v="1"/>
          </reference>
          <reference field="12" count="1" selected="0">
            <x v="11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1"/>
          </reference>
          <reference field="12" count="1" selected="0">
            <x v="12"/>
          </reference>
        </references>
      </pivotArea>
    </chartFormat>
    <chartFormat chart="0" format="165">
      <pivotArea type="data" outline="0" fieldPosition="0">
        <references count="2">
          <reference field="4294967294" count="1" selected="0">
            <x v="1"/>
          </reference>
          <reference field="12" count="1" selected="0">
            <x v="13"/>
          </reference>
        </references>
      </pivotArea>
    </chartFormat>
    <chartFormat chart="0" format="166">
      <pivotArea type="data" outline="0" fieldPosition="0">
        <references count="2">
          <reference field="4294967294" count="1" selected="0">
            <x v="1"/>
          </reference>
          <reference field="12" count="1" selected="0">
            <x v="14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1"/>
          </reference>
          <reference field="12" count="1" selected="0">
            <x v="15"/>
          </reference>
        </references>
      </pivotArea>
    </chartFormat>
    <chartFormat chart="0" format="168">
      <pivotArea type="data" outline="0" fieldPosition="0">
        <references count="2">
          <reference field="4294967294" count="1" selected="0">
            <x v="1"/>
          </reference>
          <reference field="12" count="1" selected="0">
            <x v="16"/>
          </reference>
        </references>
      </pivotArea>
    </chartFormat>
    <chartFormat chart="0" format="169">
      <pivotArea type="data" outline="0" fieldPosition="0">
        <references count="2">
          <reference field="4294967294" count="1" selected="0">
            <x v="1"/>
          </reference>
          <reference field="12" count="1" selected="0">
            <x v="17"/>
          </reference>
        </references>
      </pivotArea>
    </chartFormat>
    <chartFormat chart="0" format="170">
      <pivotArea type="data" outline="0" fieldPosition="0">
        <references count="2">
          <reference field="4294967294" count="1" selected="0">
            <x v="1"/>
          </reference>
          <reference field="12" count="1" selected="0">
            <x v="18"/>
          </reference>
        </references>
      </pivotArea>
    </chartFormat>
    <chartFormat chart="0" format="17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9"/>
          </reference>
        </references>
      </pivotArea>
    </chartFormat>
    <chartFormat chart="0" format="172">
      <pivotArea type="data" outline="0" fieldPosition="0">
        <references count="2">
          <reference field="4294967294" count="1" selected="0">
            <x v="1"/>
          </reference>
          <reference field="12" count="1" selected="0">
            <x v="20"/>
          </reference>
        </references>
      </pivotArea>
    </chartFormat>
    <chartFormat chart="0" format="173">
      <pivotArea type="data" outline="0" fieldPosition="0">
        <references count="2">
          <reference field="4294967294" count="1" selected="0">
            <x v="1"/>
          </reference>
          <reference field="12" count="1" selected="0">
            <x v="21"/>
          </reference>
        </references>
      </pivotArea>
    </chartFormat>
    <chartFormat chart="0" format="174">
      <pivotArea type="data" outline="0" fieldPosition="0">
        <references count="2">
          <reference field="4294967294" count="1" selected="0">
            <x v="1"/>
          </reference>
          <reference field="12" count="1" selected="0">
            <x v="22"/>
          </reference>
        </references>
      </pivotArea>
    </chartFormat>
    <chartFormat chart="0" format="175">
      <pivotArea type="data" outline="0" fieldPosition="0">
        <references count="2">
          <reference field="4294967294" count="1" selected="0">
            <x v="1"/>
          </reference>
          <reference field="12" count="1" selected="0">
            <x v="23"/>
          </reference>
        </references>
      </pivotArea>
    </chartFormat>
    <chartFormat chart="0" format="176">
      <pivotArea type="data" outline="0" fieldPosition="0">
        <references count="2">
          <reference field="4294967294" count="1" selected="0">
            <x v="1"/>
          </reference>
          <reference field="12" count="1" selected="0">
            <x v="24"/>
          </reference>
        </references>
      </pivotArea>
    </chartFormat>
    <chartFormat chart="0" format="177">
      <pivotArea type="data" outline="0" fieldPosition="0">
        <references count="2">
          <reference field="4294967294" count="1" selected="0">
            <x v="1"/>
          </reference>
          <reference field="12" count="1" selected="0">
            <x v="25"/>
          </reference>
        </references>
      </pivotArea>
    </chartFormat>
    <chartFormat chart="0" format="178">
      <pivotArea type="data" outline="0" fieldPosition="0">
        <references count="2">
          <reference field="4294967294" count="1" selected="0">
            <x v="1"/>
          </reference>
          <reference field="12" count="1" selected="0">
            <x v="26"/>
          </reference>
        </references>
      </pivotArea>
    </chartFormat>
    <chartFormat chart="0" format="179">
      <pivotArea type="data" outline="0" fieldPosition="0">
        <references count="2">
          <reference field="4294967294" count="1" selected="0">
            <x v="1"/>
          </reference>
          <reference field="12" count="1" selected="0">
            <x v="27"/>
          </reference>
        </references>
      </pivotArea>
    </chartFormat>
    <chartFormat chart="0" format="180">
      <pivotArea type="data" outline="0" fieldPosition="0">
        <references count="2">
          <reference field="4294967294" count="1" selected="0">
            <x v="1"/>
          </reference>
          <reference field="12" count="1" selected="0">
            <x v="28"/>
          </reference>
        </references>
      </pivotArea>
    </chartFormat>
    <chartFormat chart="0" format="18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9"/>
          </reference>
        </references>
      </pivotArea>
    </chartFormat>
    <chartFormat chart="0" format="182">
      <pivotArea type="data" outline="0" fieldPosition="0">
        <references count="2">
          <reference field="4294967294" count="1" selected="0">
            <x v="1"/>
          </reference>
          <reference field="12" count="1" selected="0">
            <x v="30"/>
          </reference>
        </references>
      </pivotArea>
    </chartFormat>
    <chartFormat chart="0" format="183">
      <pivotArea type="data" outline="0" fieldPosition="0">
        <references count="2">
          <reference field="4294967294" count="1" selected="0">
            <x v="1"/>
          </reference>
          <reference field="12" count="1" selected="0">
            <x v="31"/>
          </reference>
        </references>
      </pivotArea>
    </chartFormat>
    <chartFormat chart="0" format="184">
      <pivotArea type="data" outline="0" fieldPosition="0">
        <references count="2">
          <reference field="4294967294" count="1" selected="0">
            <x v="1"/>
          </reference>
          <reference field="12" count="1" selected="0">
            <x v="32"/>
          </reference>
        </references>
      </pivotArea>
    </chartFormat>
    <chartFormat chart="0" format="185">
      <pivotArea type="data" outline="0" fieldPosition="0">
        <references count="2">
          <reference field="4294967294" count="1" selected="0">
            <x v="1"/>
          </reference>
          <reference field="12" count="1" selected="0">
            <x v="33"/>
          </reference>
        </references>
      </pivotArea>
    </chartFormat>
    <chartFormat chart="0" format="186">
      <pivotArea type="data" outline="0" fieldPosition="0">
        <references count="2">
          <reference field="4294967294" count="1" selected="0">
            <x v="1"/>
          </reference>
          <reference field="12" count="1" selected="0">
            <x v="34"/>
          </reference>
        </references>
      </pivotArea>
    </chartFormat>
    <chartFormat chart="0" format="187">
      <pivotArea type="data" outline="0" fieldPosition="0">
        <references count="2">
          <reference field="4294967294" count="1" selected="0">
            <x v="1"/>
          </reference>
          <reference field="12" count="1" selected="0">
            <x v="35"/>
          </reference>
        </references>
      </pivotArea>
    </chartFormat>
    <chartFormat chart="0" format="188">
      <pivotArea type="data" outline="0" fieldPosition="0">
        <references count="2">
          <reference field="4294967294" count="1" selected="0">
            <x v="1"/>
          </reference>
          <reference field="12" count="1" selected="0">
            <x v="36"/>
          </reference>
        </references>
      </pivotArea>
    </chartFormat>
    <chartFormat chart="0" format="189">
      <pivotArea type="data" outline="0" fieldPosition="0">
        <references count="2">
          <reference field="4294967294" count="1" selected="0">
            <x v="1"/>
          </reference>
          <reference field="12" count="1" selected="0">
            <x v="37"/>
          </reference>
        </references>
      </pivotArea>
    </chartFormat>
    <chartFormat chart="0" format="190">
      <pivotArea type="data" outline="0" fieldPosition="0">
        <references count="2">
          <reference field="4294967294" count="1" selected="0">
            <x v="1"/>
          </reference>
          <reference field="12" count="1" selected="0">
            <x v="38"/>
          </reference>
        </references>
      </pivotArea>
    </chartFormat>
    <chartFormat chart="0" format="19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9"/>
          </reference>
        </references>
      </pivotArea>
    </chartFormat>
    <chartFormat chart="0" format="192">
      <pivotArea type="data" outline="0" fieldPosition="0">
        <references count="2">
          <reference field="4294967294" count="1" selected="0">
            <x v="1"/>
          </reference>
          <reference field="12" count="1" selected="0">
            <x v="40"/>
          </reference>
        </references>
      </pivotArea>
    </chartFormat>
    <chartFormat chart="0" format="193">
      <pivotArea type="data" outline="0" fieldPosition="0">
        <references count="2">
          <reference field="4294967294" count="1" selected="0">
            <x v="1"/>
          </reference>
          <reference field="12" count="1" selected="0">
            <x v="41"/>
          </reference>
        </references>
      </pivotArea>
    </chartFormat>
    <chartFormat chart="0" format="194">
      <pivotArea type="data" outline="0" fieldPosition="0">
        <references count="2">
          <reference field="4294967294" count="1" selected="0">
            <x v="1"/>
          </reference>
          <reference field="12" count="1" selected="0">
            <x v="42"/>
          </reference>
        </references>
      </pivotArea>
    </chartFormat>
    <chartFormat chart="0" format="195">
      <pivotArea type="data" outline="0" fieldPosition="0">
        <references count="2">
          <reference field="4294967294" count="1" selected="0">
            <x v="1"/>
          </reference>
          <reference field="12" count="1" selected="0">
            <x v="43"/>
          </reference>
        </references>
      </pivotArea>
    </chartFormat>
    <chartFormat chart="0" format="196">
      <pivotArea type="data" outline="0" fieldPosition="0">
        <references count="2">
          <reference field="4294967294" count="1" selected="0">
            <x v="1"/>
          </reference>
          <reference field="12" count="1" selected="0">
            <x v="44"/>
          </reference>
        </references>
      </pivotArea>
    </chartFormat>
    <chartFormat chart="0" format="197">
      <pivotArea type="data" outline="0" fieldPosition="0">
        <references count="2">
          <reference field="4294967294" count="1" selected="0">
            <x v="1"/>
          </reference>
          <reference field="12" count="1" selected="0">
            <x v="45"/>
          </reference>
        </references>
      </pivotArea>
    </chartFormat>
    <chartFormat chart="0" format="198">
      <pivotArea type="data" outline="0" fieldPosition="0">
        <references count="2">
          <reference field="4294967294" count="1" selected="0">
            <x v="1"/>
          </reference>
          <reference field="12" count="1" selected="0">
            <x v="46"/>
          </reference>
        </references>
      </pivotArea>
    </chartFormat>
    <chartFormat chart="0" format="199">
      <pivotArea type="data" outline="0" fieldPosition="0">
        <references count="2">
          <reference field="4294967294" count="1" selected="0">
            <x v="1"/>
          </reference>
          <reference field="12" count="1" selected="0">
            <x v="47"/>
          </reference>
        </references>
      </pivotArea>
    </chartFormat>
    <chartFormat chart="0" format="200">
      <pivotArea type="data" outline="0" fieldPosition="0">
        <references count="2">
          <reference field="4294967294" count="1" selected="0">
            <x v="1"/>
          </reference>
          <reference field="12" count="1" selected="0">
            <x v="48"/>
          </reference>
        </references>
      </pivotArea>
    </chartFormat>
    <chartFormat chart="0" format="201">
      <pivotArea type="data" outline="0" fieldPosition="0">
        <references count="2">
          <reference field="4294967294" count="1" selected="0">
            <x v="1"/>
          </reference>
          <reference field="12" count="1" selected="0">
            <x v="4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Year_Month">
  <location ref="B261:D299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axis="axisRow" showAll="0" defaultSubtotal="0">
      <items count="3">
        <item x="2"/>
        <item x="0"/>
        <item x="1"/>
      </items>
    </pivotField>
    <pivotField axis="axisRow" showAll="0">
      <items count="13">
        <item x="5"/>
        <item x="1"/>
        <item x="0"/>
        <item x="3"/>
        <item x="2"/>
        <item x="6"/>
        <item x="9"/>
        <item x="10"/>
        <item x="4"/>
        <item x="8"/>
        <item x="11"/>
        <item x="7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2">
    <field x="25"/>
    <field x="24"/>
  </rowFields>
  <rowItems count="38">
    <i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DISCOUNT" fld="28" baseField="24" baseItem="0"/>
    <dataField name="Total_SALES" fld="30" baseField="2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Month_Gender">
  <location ref="B189:C23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 defaultSubtotal="0"/>
    <pivotField axis="axisRow" showAll="0">
      <items count="13">
        <item x="5"/>
        <item x="1"/>
        <item x="0"/>
        <item x="3"/>
        <item x="2"/>
        <item x="6"/>
        <item x="9"/>
        <item x="10"/>
        <item x="4"/>
        <item x="8"/>
        <item x="11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25"/>
    <field x="6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3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24:C2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 measureFilter="1" sortType="descending">
      <items count="51">
        <item x="30"/>
        <item x="48"/>
        <item x="14"/>
        <item x="27"/>
        <item x="40"/>
        <item x="38"/>
        <item x="8"/>
        <item x="15"/>
        <item x="32"/>
        <item x="29"/>
        <item x="47"/>
        <item x="16"/>
        <item x="42"/>
        <item x="12"/>
        <item x="1"/>
        <item x="37"/>
        <item x="36"/>
        <item x="20"/>
        <item x="31"/>
        <item x="28"/>
        <item x="23"/>
        <item x="0"/>
        <item x="2"/>
        <item x="13"/>
        <item x="39"/>
        <item x="19"/>
        <item x="24"/>
        <item x="17"/>
        <item x="45"/>
        <item x="18"/>
        <item x="3"/>
        <item x="43"/>
        <item x="7"/>
        <item x="6"/>
        <item x="41"/>
        <item x="21"/>
        <item x="25"/>
        <item x="33"/>
        <item x="11"/>
        <item x="44"/>
        <item x="26"/>
        <item x="9"/>
        <item x="4"/>
        <item x="46"/>
        <item x="49"/>
        <item x="5"/>
        <item x="10"/>
        <item x="34"/>
        <item x="35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7" showAll="0"/>
    <pivotField showAll="0"/>
    <pivotField showAll="0"/>
    <pivotField numFmtId="164" showAll="0"/>
    <pivotField showAll="0"/>
    <pivotField dataField="1" showAll="0"/>
  </pivotFields>
  <rowFields count="1">
    <field x="11"/>
  </rowFields>
  <rowItems count="3">
    <i>
      <x v="26"/>
    </i>
    <i>
      <x v="45"/>
    </i>
    <i t="grand">
      <x/>
    </i>
  </rowItems>
  <colItems count="1">
    <i/>
  </colItems>
  <dataFields count="1">
    <dataField name="Sum of REVENUE/TOTAL_AMT" fld="20" baseField="0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132:C141" firstHeaderRow="1" firstDataRow="1" firstDataCol="1"/>
  <pivotFields count="28">
    <pivotField showAll="0"/>
    <pivotField showAll="0" measureFilter="1" sortType="descending">
      <items count="101">
        <item x="35"/>
        <item x="37"/>
        <item x="39"/>
        <item x="58"/>
        <item x="74"/>
        <item x="11"/>
        <item x="85"/>
        <item x="21"/>
        <item x="3"/>
        <item x="0"/>
        <item x="1"/>
        <item x="54"/>
        <item x="22"/>
        <item x="67"/>
        <item x="59"/>
        <item x="8"/>
        <item x="52"/>
        <item x="82"/>
        <item x="42"/>
        <item x="46"/>
        <item x="64"/>
        <item x="18"/>
        <item x="77"/>
        <item x="4"/>
        <item x="60"/>
        <item x="29"/>
        <item x="5"/>
        <item x="17"/>
        <item x="45"/>
        <item x="7"/>
        <item x="99"/>
        <item x="31"/>
        <item x="70"/>
        <item x="13"/>
        <item x="79"/>
        <item x="97"/>
        <item x="14"/>
        <item x="63"/>
        <item x="84"/>
        <item x="26"/>
        <item x="71"/>
        <item x="98"/>
        <item x="87"/>
        <item x="36"/>
        <item x="51"/>
        <item x="28"/>
        <item x="83"/>
        <item x="53"/>
        <item x="20"/>
        <item x="38"/>
        <item x="57"/>
        <item x="9"/>
        <item x="12"/>
        <item x="30"/>
        <item x="10"/>
        <item x="2"/>
        <item x="50"/>
        <item x="93"/>
        <item x="56"/>
        <item x="62"/>
        <item x="68"/>
        <item x="92"/>
        <item x="90"/>
        <item x="24"/>
        <item x="72"/>
        <item x="69"/>
        <item x="65"/>
        <item x="44"/>
        <item x="15"/>
        <item x="41"/>
        <item x="6"/>
        <item x="19"/>
        <item x="78"/>
        <item x="40"/>
        <item x="86"/>
        <item x="66"/>
        <item x="80"/>
        <item x="47"/>
        <item x="76"/>
        <item x="75"/>
        <item x="95"/>
        <item x="43"/>
        <item x="94"/>
        <item x="32"/>
        <item x="89"/>
        <item x="49"/>
        <item x="96"/>
        <item x="48"/>
        <item x="73"/>
        <item x="23"/>
        <item x="25"/>
        <item x="34"/>
        <item x="81"/>
        <item x="33"/>
        <item x="16"/>
        <item x="61"/>
        <item x="27"/>
        <item x="88"/>
        <item x="55"/>
        <item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ascending">
      <items count="9">
        <item x="5"/>
        <item x="7"/>
        <item x="1"/>
        <item x="3"/>
        <item x="4"/>
        <item x="2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65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9">
    <i>
      <x v="4"/>
    </i>
    <i>
      <x/>
    </i>
    <i>
      <x v="5"/>
    </i>
    <i>
      <x v="6"/>
    </i>
    <i>
      <x v="1"/>
    </i>
    <i>
      <x v="3"/>
    </i>
    <i>
      <x v="7"/>
    </i>
    <i>
      <x v="2"/>
    </i>
    <i t="grand">
      <x/>
    </i>
  </rowItems>
  <colItems count="1">
    <i/>
  </colItems>
  <dataFields count="1">
    <dataField name="Sum of Revnue(Sales-disc)" fld="26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B19:C22" firstHeaderRow="1" firstDataRow="1" firstDataCol="1"/>
  <pivotFields count="19">
    <pivotField showAll="0">
      <items count="101">
        <item x="48"/>
        <item x="8"/>
        <item x="83"/>
        <item x="51"/>
        <item x="79"/>
        <item x="9"/>
        <item x="96"/>
        <item x="65"/>
        <item x="25"/>
        <item x="75"/>
        <item x="93"/>
        <item x="42"/>
        <item x="69"/>
        <item x="82"/>
        <item x="92"/>
        <item x="2"/>
        <item x="38"/>
        <item x="84"/>
        <item x="58"/>
        <item x="74"/>
        <item x="28"/>
        <item x="30"/>
        <item x="87"/>
        <item x="60"/>
        <item x="70"/>
        <item x="56"/>
        <item x="41"/>
        <item x="76"/>
        <item x="16"/>
        <item x="43"/>
        <item x="7"/>
        <item x="88"/>
        <item x="33"/>
        <item x="31"/>
        <item x="45"/>
        <item x="39"/>
        <item x="46"/>
        <item x="14"/>
        <item x="80"/>
        <item x="57"/>
        <item x="59"/>
        <item x="86"/>
        <item x="81"/>
        <item x="62"/>
        <item x="55"/>
        <item x="54"/>
        <item x="98"/>
        <item x="15"/>
        <item x="13"/>
        <item x="3"/>
        <item x="1"/>
        <item x="91"/>
        <item x="6"/>
        <item x="47"/>
        <item x="85"/>
        <item x="29"/>
        <item x="63"/>
        <item x="89"/>
        <item x="21"/>
        <item x="4"/>
        <item x="71"/>
        <item x="26"/>
        <item x="78"/>
        <item x="19"/>
        <item x="90"/>
        <item x="40"/>
        <item x="23"/>
        <item x="99"/>
        <item x="17"/>
        <item x="32"/>
        <item x="64"/>
        <item x="72"/>
        <item x="10"/>
        <item x="73"/>
        <item x="53"/>
        <item x="50"/>
        <item x="12"/>
        <item x="95"/>
        <item x="11"/>
        <item x="18"/>
        <item x="34"/>
        <item x="37"/>
        <item x="20"/>
        <item x="61"/>
        <item x="35"/>
        <item x="66"/>
        <item x="0"/>
        <item x="36"/>
        <item x="68"/>
        <item x="77"/>
        <item x="27"/>
        <item x="24"/>
        <item x="52"/>
        <item x="22"/>
        <item x="67"/>
        <item x="49"/>
        <item x="94"/>
        <item x="97"/>
        <item x="5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01">
        <item x="352"/>
        <item x="448"/>
        <item x="301"/>
        <item x="67"/>
        <item x="402"/>
        <item x="255"/>
        <item x="230"/>
        <item x="446"/>
        <item x="207"/>
        <item x="438"/>
        <item x="203"/>
        <item x="411"/>
        <item x="115"/>
        <item x="266"/>
        <item x="107"/>
        <item x="171"/>
        <item x="69"/>
        <item x="277"/>
        <item x="457"/>
        <item x="300"/>
        <item x="353"/>
        <item x="329"/>
        <item x="285"/>
        <item x="90"/>
        <item x="129"/>
        <item x="160"/>
        <item x="308"/>
        <item x="216"/>
        <item x="126"/>
        <item x="125"/>
        <item x="374"/>
        <item x="281"/>
        <item x="5"/>
        <item x="259"/>
        <item x="76"/>
        <item x="72"/>
        <item x="243"/>
        <item x="395"/>
        <item x="313"/>
        <item x="422"/>
        <item x="168"/>
        <item x="355"/>
        <item x="110"/>
        <item x="148"/>
        <item x="302"/>
        <item x="436"/>
        <item x="18"/>
        <item x="173"/>
        <item x="441"/>
        <item x="445"/>
        <item x="419"/>
        <item x="334"/>
        <item x="432"/>
        <item x="474"/>
        <item x="196"/>
        <item x="398"/>
        <item x="335"/>
        <item x="463"/>
        <item x="247"/>
        <item x="10"/>
        <item x="15"/>
        <item x="51"/>
        <item x="339"/>
        <item x="475"/>
        <item x="468"/>
        <item x="409"/>
        <item x="379"/>
        <item x="256"/>
        <item x="25"/>
        <item x="55"/>
        <item x="77"/>
        <item x="50"/>
        <item x="348"/>
        <item x="433"/>
        <item x="473"/>
        <item x="239"/>
        <item x="241"/>
        <item x="274"/>
        <item x="459"/>
        <item x="362"/>
        <item x="161"/>
        <item x="369"/>
        <item x="0"/>
        <item x="321"/>
        <item x="337"/>
        <item x="114"/>
        <item x="365"/>
        <item x="392"/>
        <item x="306"/>
        <item x="455"/>
        <item x="249"/>
        <item x="336"/>
        <item x="175"/>
        <item x="66"/>
        <item x="34"/>
        <item x="236"/>
        <item x="130"/>
        <item x="471"/>
        <item x="327"/>
        <item x="4"/>
        <item x="28"/>
        <item x="421"/>
        <item x="491"/>
        <item x="357"/>
        <item x="205"/>
        <item x="211"/>
        <item x="282"/>
        <item x="229"/>
        <item x="56"/>
        <item x="119"/>
        <item x="64"/>
        <item x="393"/>
        <item x="486"/>
        <item x="190"/>
        <item x="11"/>
        <item x="85"/>
        <item x="297"/>
        <item x="289"/>
        <item x="373"/>
        <item x="145"/>
        <item x="492"/>
        <item x="43"/>
        <item x="92"/>
        <item x="271"/>
        <item x="497"/>
        <item x="410"/>
        <item x="197"/>
        <item x="74"/>
        <item x="151"/>
        <item x="251"/>
        <item x="489"/>
        <item x="36"/>
        <item x="13"/>
        <item x="381"/>
        <item x="8"/>
        <item x="233"/>
        <item x="412"/>
        <item x="150"/>
        <item x="113"/>
        <item x="280"/>
        <item x="104"/>
        <item x="49"/>
        <item x="408"/>
        <item x="331"/>
        <item x="14"/>
        <item x="417"/>
        <item x="310"/>
        <item x="460"/>
        <item x="342"/>
        <item x="19"/>
        <item x="382"/>
        <item x="340"/>
        <item x="315"/>
        <item x="237"/>
        <item x="464"/>
        <item x="135"/>
        <item x="260"/>
        <item x="264"/>
        <item x="424"/>
        <item x="394"/>
        <item x="182"/>
        <item x="23"/>
        <item x="465"/>
        <item x="62"/>
        <item x="134"/>
        <item x="221"/>
        <item x="235"/>
        <item x="6"/>
        <item x="330"/>
        <item x="359"/>
        <item x="328"/>
        <item x="435"/>
        <item x="416"/>
        <item x="27"/>
        <item x="170"/>
        <item x="147"/>
        <item x="227"/>
        <item x="7"/>
        <item x="400"/>
        <item x="128"/>
        <item x="37"/>
        <item x="314"/>
        <item x="140"/>
        <item x="35"/>
        <item x="375"/>
        <item x="428"/>
        <item x="177"/>
        <item x="100"/>
        <item x="452"/>
        <item x="157"/>
        <item x="162"/>
        <item x="479"/>
        <item x="377"/>
        <item x="439"/>
        <item x="120"/>
        <item x="414"/>
        <item x="30"/>
        <item x="215"/>
        <item x="258"/>
        <item x="240"/>
        <item x="293"/>
        <item x="124"/>
        <item x="494"/>
        <item x="201"/>
        <item x="29"/>
        <item x="268"/>
        <item x="42"/>
        <item x="108"/>
        <item x="26"/>
        <item x="272"/>
        <item x="188"/>
        <item x="53"/>
        <item x="444"/>
        <item x="246"/>
        <item x="461"/>
        <item x="324"/>
        <item x="61"/>
        <item x="186"/>
        <item x="466"/>
        <item x="358"/>
        <item x="144"/>
        <item x="429"/>
        <item x="97"/>
        <item x="123"/>
        <item x="39"/>
        <item x="283"/>
        <item x="397"/>
        <item x="278"/>
        <item x="399"/>
        <item x="139"/>
        <item x="332"/>
        <item x="275"/>
        <item x="111"/>
        <item x="228"/>
        <item x="176"/>
        <item x="167"/>
        <item x="349"/>
        <item x="220"/>
        <item x="325"/>
        <item x="180"/>
        <item x="32"/>
        <item x="431"/>
        <item x="252"/>
        <item x="318"/>
        <item x="404"/>
        <item x="82"/>
        <item x="57"/>
        <item x="98"/>
        <item x="296"/>
        <item x="73"/>
        <item x="172"/>
        <item x="442"/>
        <item x="390"/>
        <item x="84"/>
        <item x="257"/>
        <item x="420"/>
        <item x="59"/>
        <item x="263"/>
        <item x="80"/>
        <item x="319"/>
        <item x="210"/>
        <item x="488"/>
        <item x="121"/>
        <item x="305"/>
        <item x="138"/>
        <item x="387"/>
        <item x="224"/>
        <item x="307"/>
        <item x="189"/>
        <item x="238"/>
        <item x="146"/>
        <item x="17"/>
        <item x="152"/>
        <item x="95"/>
        <item x="163"/>
        <item x="295"/>
        <item x="450"/>
        <item x="166"/>
        <item x="122"/>
        <item x="38"/>
        <item x="477"/>
        <item x="184"/>
        <item x="320"/>
        <item x="481"/>
        <item x="209"/>
        <item x="78"/>
        <item x="376"/>
        <item x="174"/>
        <item x="485"/>
        <item x="469"/>
        <item x="132"/>
        <item x="351"/>
        <item x="476"/>
        <item x="48"/>
        <item x="454"/>
        <item x="16"/>
        <item x="232"/>
        <item x="79"/>
        <item x="323"/>
        <item x="250"/>
        <item x="185"/>
        <item x="118"/>
        <item x="425"/>
        <item x="199"/>
        <item x="490"/>
        <item x="141"/>
        <item x="101"/>
        <item x="164"/>
        <item x="226"/>
        <item x="86"/>
        <item x="458"/>
        <item x="361"/>
        <item x="427"/>
        <item x="499"/>
        <item x="371"/>
        <item x="195"/>
        <item x="198"/>
        <item x="12"/>
        <item x="384"/>
        <item x="46"/>
        <item x="344"/>
        <item x="44"/>
        <item x="96"/>
        <item x="204"/>
        <item x="94"/>
        <item x="360"/>
        <item x="322"/>
        <item x="33"/>
        <item x="462"/>
        <item x="262"/>
        <item x="219"/>
        <item x="311"/>
        <item x="1"/>
        <item x="165"/>
        <item x="343"/>
        <item x="3"/>
        <item x="222"/>
        <item x="287"/>
        <item x="309"/>
        <item x="279"/>
        <item x="269"/>
        <item x="482"/>
        <item x="370"/>
        <item x="154"/>
        <item x="407"/>
        <item x="292"/>
        <item x="347"/>
        <item x="356"/>
        <item x="70"/>
        <item x="112"/>
        <item x="202"/>
        <item x="366"/>
        <item x="388"/>
        <item x="231"/>
        <item x="405"/>
        <item x="496"/>
        <item x="192"/>
        <item x="447"/>
        <item x="71"/>
        <item x="248"/>
        <item x="443"/>
        <item x="498"/>
        <item x="495"/>
        <item x="214"/>
        <item x="437"/>
        <item x="2"/>
        <item x="451"/>
        <item x="288"/>
        <item x="367"/>
        <item x="47"/>
        <item x="21"/>
        <item x="430"/>
        <item x="20"/>
        <item x="169"/>
        <item x="396"/>
        <item x="63"/>
        <item x="41"/>
        <item x="158"/>
        <item x="284"/>
        <item x="99"/>
        <item x="60"/>
        <item x="234"/>
        <item x="403"/>
        <item x="338"/>
        <item x="106"/>
        <item x="386"/>
        <item x="299"/>
        <item x="276"/>
        <item x="294"/>
        <item x="191"/>
        <item x="345"/>
        <item x="406"/>
        <item x="245"/>
        <item x="81"/>
        <item x="206"/>
        <item x="440"/>
        <item x="401"/>
        <item x="217"/>
        <item x="363"/>
        <item x="58"/>
        <item x="385"/>
        <item x="273"/>
        <item x="378"/>
        <item x="116"/>
        <item x="453"/>
        <item x="200"/>
        <item x="317"/>
        <item x="208"/>
        <item x="155"/>
        <item x="83"/>
        <item x="93"/>
        <item x="483"/>
        <item x="415"/>
        <item x="45"/>
        <item x="75"/>
        <item x="183"/>
        <item x="298"/>
        <item x="40"/>
        <item x="225"/>
        <item x="303"/>
        <item x="52"/>
        <item x="137"/>
        <item x="326"/>
        <item x="286"/>
        <item x="102"/>
        <item x="127"/>
        <item x="159"/>
        <item x="389"/>
        <item x="181"/>
        <item x="223"/>
        <item x="449"/>
        <item x="253"/>
        <item x="364"/>
        <item x="65"/>
        <item x="22"/>
        <item x="312"/>
        <item x="68"/>
        <item x="418"/>
        <item x="487"/>
        <item x="261"/>
        <item x="472"/>
        <item x="87"/>
        <item x="434"/>
        <item x="426"/>
        <item x="136"/>
        <item x="423"/>
        <item x="391"/>
        <item x="341"/>
        <item x="380"/>
        <item x="156"/>
        <item x="346"/>
        <item x="153"/>
        <item x="179"/>
        <item x="178"/>
        <item x="131"/>
        <item x="470"/>
        <item x="88"/>
        <item x="413"/>
        <item x="267"/>
        <item x="484"/>
        <item x="478"/>
        <item x="193"/>
        <item x="456"/>
        <item x="117"/>
        <item x="254"/>
        <item x="31"/>
        <item x="304"/>
        <item x="109"/>
        <item x="372"/>
        <item x="212"/>
        <item x="290"/>
        <item x="244"/>
        <item x="9"/>
        <item x="467"/>
        <item x="187"/>
        <item x="103"/>
        <item x="265"/>
        <item x="213"/>
        <item x="270"/>
        <item x="105"/>
        <item x="133"/>
        <item x="350"/>
        <item x="316"/>
        <item x="291"/>
        <item x="143"/>
        <item x="142"/>
        <item x="218"/>
        <item x="149"/>
        <item x="242"/>
        <item x="89"/>
        <item x="480"/>
        <item x="194"/>
        <item x="54"/>
        <item x="91"/>
        <item x="493"/>
        <item x="24"/>
        <item x="383"/>
        <item x="368"/>
        <item x="354"/>
        <item x="333"/>
        <item t="default"/>
      </items>
    </pivotField>
    <pivotField numFmtId="164" showAll="0"/>
    <pivotField showAll="0"/>
    <pivotField axis="axisRow" showAll="0" measureFilter="1">
      <items count="51">
        <item x="30"/>
        <item x="48"/>
        <item x="14"/>
        <item x="27"/>
        <item x="40"/>
        <item x="38"/>
        <item x="8"/>
        <item x="15"/>
        <item x="32"/>
        <item x="29"/>
        <item x="47"/>
        <item x="16"/>
        <item x="42"/>
        <item x="12"/>
        <item x="1"/>
        <item x="37"/>
        <item x="36"/>
        <item x="20"/>
        <item x="31"/>
        <item x="28"/>
        <item x="23"/>
        <item x="0"/>
        <item x="2"/>
        <item x="13"/>
        <item x="39"/>
        <item x="19"/>
        <item x="24"/>
        <item x="17"/>
        <item x="45"/>
        <item x="18"/>
        <item x="3"/>
        <item x="43"/>
        <item x="7"/>
        <item x="6"/>
        <item x="41"/>
        <item x="21"/>
        <item x="25"/>
        <item x="33"/>
        <item x="11"/>
        <item x="44"/>
        <item x="26"/>
        <item x="9"/>
        <item x="4"/>
        <item x="46"/>
        <item x="49"/>
        <item x="5"/>
        <item x="10"/>
        <item x="34"/>
        <item x="35"/>
        <item x="2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11"/>
  </rowFields>
  <rowItems count="3">
    <i>
      <x v="35"/>
    </i>
    <i>
      <x v="45"/>
    </i>
    <i t="grand">
      <x/>
    </i>
  </rowItems>
  <colItems count="1">
    <i/>
  </colItems>
  <dataFields count="1">
    <dataField name="Count_Order_ID" fld="8" subtotal="count" baseField="11" baseItem="35"/>
  </dataFields>
  <pivotTableStyleInfo name="PivotStyleLight16" showRowHeaders="1" showColHeaders="1" showRowStripes="0" showColStripes="0" showLastColumn="1"/>
  <filters count="1">
    <filter fld="11" type="count" evalOrder="-1" id="4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1:AE501" totalsRowShown="0" headerRowDxfId="11">
  <autoFilter ref="A1:AE501"/>
  <tableColumns count="31">
    <tableColumn id="1" name="Customer_ID"/>
    <tableColumn id="2" name="Full_Name">
      <calculatedColumnFormula>CONCATENATE(C2," ", D2," ")</calculatedColumnFormula>
    </tableColumn>
    <tableColumn id="3" name="First_Name"/>
    <tableColumn id="4" name="Last_Name"/>
    <tableColumn id="5" name="Age"/>
    <tableColumn id="6" name="Age_bin">
      <calculatedColumnFormula>IF(E2&lt;=25,"0-25",IF(E2&lt;=35,"26-35",IF(E2&lt;=45,"36-45","&gt;45")))</calculatedColumnFormula>
    </tableColumn>
    <tableColumn id="7" name="Gender"/>
    <tableColumn id="8" name="City"/>
    <tableColumn id="9" name="Email"/>
    <tableColumn id="31" name="Email_from _domain" dataDxfId="10">
      <calculatedColumnFormula>MID(I2,FIND("@",I2)+1,100)</calculatedColumnFormula>
    </tableColumn>
    <tableColumn id="10" name="Address"/>
    <tableColumn id="11" name="Order_ID"/>
    <tableColumn id="12" name="Order_Date" dataDxfId="9"/>
    <tableColumn id="13" name="Order_Time"/>
    <tableColumn id="14" name="Product_ID"/>
    <tableColumn id="15" name="Price"/>
    <tableColumn id="16" name="Quantity"/>
    <tableColumn id="17" name="Coupon_Code"/>
    <tableColumn id="18" name="COUPON %" dataDxfId="8"/>
    <tableColumn id="19" name="Estimatd_Days_Deliver" dataDxfId="7"/>
    <tableColumn id="20" name="Delivery_Status" dataDxfId="6">
      <calculatedColumnFormula>IF(W2&lt;T2,"Before_time",IF(W2&gt;T2,"Late_Delivery","On_time"))</calculatedColumnFormula>
    </tableColumn>
    <tableColumn id="21" name="Delivery_Charge"/>
    <tableColumn id="22" name="Days to Deliver" dataDxfId="5">
      <calculatedColumnFormula>DATEDIF(M2,X2,"D")</calculatedColumnFormula>
    </tableColumn>
    <tableColumn id="23" name="Delivery_Date" dataDxfId="4"/>
    <tableColumn id="30" name="Year" dataDxfId="3">
      <calculatedColumnFormula>YEAR(Table2[[#This Row],[Delivery_Date]])</calculatedColumnFormula>
    </tableColumn>
    <tableColumn id="24" name="Month" dataDxfId="2">
      <calculatedColumnFormula>TEXT(X2,"mmm")</calculatedColumnFormula>
    </tableColumn>
    <tableColumn id="25" name="Delivery_Time"/>
    <tableColumn id="26" name="Amount_del_charges(Final)">
      <calculatedColumnFormula>AD2+V2</calculatedColumnFormula>
    </tableColumn>
    <tableColumn id="27" name="TOTAL DISCOUNT" dataDxfId="0">
      <calculatedColumnFormula>Table2[[#This Row],[Price]]*Table2[[#This Row],[Quantity]]*Table2[[#This Row],[COUPON %]]/100</calculatedColumnFormula>
    </tableColumn>
    <tableColumn id="28" name="Revnue(Sales-disc)">
      <calculatedColumnFormula>P2*Q2*(1-S2/100)</calculatedColumnFormula>
    </tableColumn>
    <tableColumn id="29" name="SALES" dataDxfId="1">
      <calculatedColumnFormula>P2*Q2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tabSelected="1" topLeftCell="U1" workbookViewId="0">
      <selection activeCell="AD2" sqref="AD2"/>
    </sheetView>
  </sheetViews>
  <sheetFormatPr defaultRowHeight="15" x14ac:dyDescent="0.25"/>
  <cols>
    <col min="1" max="1" width="14.5703125" customWidth="1"/>
    <col min="2" max="2" width="18.7109375" customWidth="1"/>
    <col min="3" max="3" width="14.5703125" customWidth="1"/>
    <col min="4" max="4" width="12.85546875" customWidth="1"/>
    <col min="6" max="6" width="10.42578125" customWidth="1"/>
    <col min="7" max="7" width="9.85546875" customWidth="1"/>
    <col min="9" max="10" width="28.42578125" customWidth="1"/>
    <col min="11" max="11" width="10.28515625" customWidth="1"/>
    <col min="12" max="12" width="11.140625" customWidth="1"/>
    <col min="13" max="13" width="13.42578125" customWidth="1"/>
    <col min="14" max="14" width="13.7109375" customWidth="1"/>
    <col min="15" max="15" width="12.85546875" customWidth="1"/>
    <col min="17" max="17" width="10.85546875" customWidth="1"/>
    <col min="18" max="18" width="15.5703125" customWidth="1"/>
    <col min="19" max="19" width="15.5703125" bestFit="1" customWidth="1"/>
    <col min="20" max="20" width="23.42578125" customWidth="1"/>
    <col min="21" max="21" width="17" customWidth="1"/>
    <col min="22" max="22" width="17.7109375" customWidth="1"/>
    <col min="23" max="23" width="19" customWidth="1"/>
    <col min="24" max="24" width="16.42578125" customWidth="1"/>
    <col min="25" max="25" width="16.42578125" style="1" customWidth="1"/>
    <col min="26" max="26" width="16" customWidth="1"/>
    <col min="27" max="27" width="27.5703125" customWidth="1"/>
    <col min="28" max="28" width="18.42578125" customWidth="1"/>
    <col min="29" max="29" width="21.140625" bestFit="1" customWidth="1"/>
  </cols>
  <sheetData>
    <row r="1" spans="1:31" s="20" customFormat="1" x14ac:dyDescent="0.25">
      <c r="A1" s="17" t="s">
        <v>2060</v>
      </c>
      <c r="B1" s="17" t="s">
        <v>2059</v>
      </c>
      <c r="C1" s="17" t="s">
        <v>2058</v>
      </c>
      <c r="D1" s="17" t="s">
        <v>2057</v>
      </c>
      <c r="E1" s="17" t="s">
        <v>2056</v>
      </c>
      <c r="F1" s="17" t="s">
        <v>2055</v>
      </c>
      <c r="G1" s="17" t="s">
        <v>2054</v>
      </c>
      <c r="H1" s="17" t="s">
        <v>2053</v>
      </c>
      <c r="I1" s="17" t="s">
        <v>2052</v>
      </c>
      <c r="J1" s="17" t="s">
        <v>2051</v>
      </c>
      <c r="K1" s="17" t="s">
        <v>2050</v>
      </c>
      <c r="L1" s="17" t="s">
        <v>2049</v>
      </c>
      <c r="M1" s="17" t="s">
        <v>2048</v>
      </c>
      <c r="N1" s="17" t="s">
        <v>2047</v>
      </c>
      <c r="O1" s="17" t="s">
        <v>2046</v>
      </c>
      <c r="P1" s="17" t="s">
        <v>2045</v>
      </c>
      <c r="Q1" s="17" t="s">
        <v>2044</v>
      </c>
      <c r="R1" s="17" t="s">
        <v>2043</v>
      </c>
      <c r="S1" s="17" t="s">
        <v>2042</v>
      </c>
      <c r="T1" s="17" t="s">
        <v>2041</v>
      </c>
      <c r="U1" s="17" t="s">
        <v>2040</v>
      </c>
      <c r="V1" s="17" t="s">
        <v>2039</v>
      </c>
      <c r="W1" s="17" t="s">
        <v>2038</v>
      </c>
      <c r="X1" s="17" t="s">
        <v>2037</v>
      </c>
      <c r="Y1" s="18" t="s">
        <v>2036</v>
      </c>
      <c r="Z1" s="17" t="s">
        <v>2035</v>
      </c>
      <c r="AA1" s="17" t="s">
        <v>2034</v>
      </c>
      <c r="AB1" s="19" t="s">
        <v>2033</v>
      </c>
      <c r="AC1" s="19" t="s">
        <v>2032</v>
      </c>
      <c r="AD1" s="19" t="s">
        <v>2031</v>
      </c>
      <c r="AE1" s="19" t="s">
        <v>2030</v>
      </c>
    </row>
    <row r="2" spans="1:31" x14ac:dyDescent="0.25">
      <c r="A2" t="s">
        <v>1311</v>
      </c>
      <c r="B2" t="str">
        <f t="shared" ref="B2:B65" si="0">CONCATENATE(C2," ", D2," ")</f>
        <v xml:space="preserve">Anne Oconnell </v>
      </c>
      <c r="C2" t="s">
        <v>1310</v>
      </c>
      <c r="D2" t="s">
        <v>1309</v>
      </c>
      <c r="E2">
        <v>37</v>
      </c>
      <c r="F2" t="str">
        <f t="shared" ref="F2:F65" si="1">IF(E2&lt;=25,"0-25",IF(E2&lt;=35,"26-35",IF(E2&lt;=45,"36-45","&gt;45")))</f>
        <v>36-45</v>
      </c>
      <c r="G2" t="s">
        <v>108</v>
      </c>
      <c r="H2" t="s">
        <v>107</v>
      </c>
      <c r="I2" t="s">
        <v>1308</v>
      </c>
      <c r="J2" t="str">
        <f t="shared" ref="J2:J65" si="2">MID(I2,FIND("@",I2)+1,100)</f>
        <v>outlook.com</v>
      </c>
      <c r="K2" t="s">
        <v>1307</v>
      </c>
      <c r="L2" t="s">
        <v>2029</v>
      </c>
      <c r="M2" s="2">
        <v>45358</v>
      </c>
      <c r="N2" t="s">
        <v>2028</v>
      </c>
      <c r="O2" t="s">
        <v>140</v>
      </c>
      <c r="P2">
        <v>308.88</v>
      </c>
      <c r="Q2">
        <v>5</v>
      </c>
      <c r="R2" t="s">
        <v>34</v>
      </c>
      <c r="S2" s="5">
        <v>8</v>
      </c>
      <c r="T2" s="3">
        <v>4</v>
      </c>
      <c r="U2" s="4" t="str">
        <f t="shared" ref="U2:U65" si="3">IF(W2&lt;T2,"Before_time",IF(W2&gt;T2,"Late_Delivery","On_time"))</f>
        <v>Before_time</v>
      </c>
      <c r="V2">
        <v>60</v>
      </c>
      <c r="W2" s="3">
        <f t="shared" ref="W2:W65" si="4">DATEDIF(M2,X2,"D")</f>
        <v>3</v>
      </c>
      <c r="X2" s="2">
        <v>45361</v>
      </c>
      <c r="Y2" s="1">
        <f>YEAR(Table2[[#This Row],[Delivery_Date]])</f>
        <v>2024</v>
      </c>
      <c r="Z2" s="6" t="str">
        <f t="shared" ref="Z2:Z65" si="5">TEXT(X2,"mmm")</f>
        <v>Mar</v>
      </c>
      <c r="AA2" t="s">
        <v>2027</v>
      </c>
      <c r="AB2">
        <f t="shared" ref="AB2:AB65" si="6">AD2+V2</f>
        <v>1480.8480000000002</v>
      </c>
      <c r="AC2">
        <f>Table2[[#This Row],[Price]]*Table2[[#This Row],[Quantity]]*Table2[[#This Row],[COUPON %]]/100</f>
        <v>123.55200000000001</v>
      </c>
      <c r="AD2">
        <f t="shared" ref="AD2:AD65" si="7">P2*Q2*(1-S2/100)</f>
        <v>1420.8480000000002</v>
      </c>
      <c r="AE2" s="1">
        <f t="shared" ref="AE2:AE65" si="8">P2*Q2</f>
        <v>1544.4</v>
      </c>
    </row>
    <row r="3" spans="1:31" x14ac:dyDescent="0.25">
      <c r="A3" t="s">
        <v>371</v>
      </c>
      <c r="B3" t="str">
        <f t="shared" si="0"/>
        <v xml:space="preserve">Anthony Thomas </v>
      </c>
      <c r="C3" t="s">
        <v>370</v>
      </c>
      <c r="D3" t="s">
        <v>369</v>
      </c>
      <c r="E3">
        <v>53</v>
      </c>
      <c r="F3" t="str">
        <f t="shared" si="1"/>
        <v>&gt;45</v>
      </c>
      <c r="G3" t="s">
        <v>29</v>
      </c>
      <c r="H3" t="s">
        <v>7</v>
      </c>
      <c r="I3" t="s">
        <v>368</v>
      </c>
      <c r="J3" t="str">
        <f t="shared" si="2"/>
        <v>rediffmail.com</v>
      </c>
      <c r="K3" t="s">
        <v>367</v>
      </c>
      <c r="L3" t="s">
        <v>2026</v>
      </c>
      <c r="M3" s="2">
        <v>45378</v>
      </c>
      <c r="N3" t="s">
        <v>2025</v>
      </c>
      <c r="O3" t="s">
        <v>211</v>
      </c>
      <c r="P3">
        <v>166.28</v>
      </c>
      <c r="Q3">
        <v>4</v>
      </c>
      <c r="R3" t="s">
        <v>34</v>
      </c>
      <c r="S3" s="5">
        <v>8</v>
      </c>
      <c r="T3" s="3">
        <v>7</v>
      </c>
      <c r="U3" s="4" t="str">
        <f t="shared" si="3"/>
        <v>Before_time</v>
      </c>
      <c r="V3">
        <v>66</v>
      </c>
      <c r="W3" s="3">
        <f t="shared" si="4"/>
        <v>3</v>
      </c>
      <c r="X3" s="2">
        <v>45381</v>
      </c>
      <c r="Y3" s="1">
        <f>YEAR(Table2[[#This Row],[Delivery_Date]])</f>
        <v>2024</v>
      </c>
      <c r="Z3" s="2" t="str">
        <f t="shared" si="5"/>
        <v>Mar</v>
      </c>
      <c r="AA3" t="s">
        <v>2024</v>
      </c>
      <c r="AB3">
        <f t="shared" si="6"/>
        <v>677.91039999999998</v>
      </c>
      <c r="AC3">
        <f>Table2[[#This Row],[Price]]*Table2[[#This Row],[Quantity]]*Table2[[#This Row],[COUPON %]]/100</f>
        <v>53.209600000000002</v>
      </c>
      <c r="AD3">
        <f t="shared" si="7"/>
        <v>611.91039999999998</v>
      </c>
      <c r="AE3" s="1">
        <f t="shared" si="8"/>
        <v>665.12</v>
      </c>
    </row>
    <row r="4" spans="1:31" x14ac:dyDescent="0.25">
      <c r="A4" t="s">
        <v>1999</v>
      </c>
      <c r="B4" t="str">
        <f t="shared" si="0"/>
        <v xml:space="preserve">Karl Gallagher </v>
      </c>
      <c r="C4" t="s">
        <v>1998</v>
      </c>
      <c r="D4" t="s">
        <v>1997</v>
      </c>
      <c r="E4">
        <v>60</v>
      </c>
      <c r="F4" t="str">
        <f t="shared" si="1"/>
        <v>&gt;45</v>
      </c>
      <c r="G4" t="s">
        <v>8</v>
      </c>
      <c r="H4" t="s">
        <v>107</v>
      </c>
      <c r="I4" t="s">
        <v>1996</v>
      </c>
      <c r="J4" t="str">
        <f t="shared" si="2"/>
        <v>rediffmail.com</v>
      </c>
      <c r="K4" t="s">
        <v>1995</v>
      </c>
      <c r="L4" t="s">
        <v>2023</v>
      </c>
      <c r="M4" s="2">
        <v>45342</v>
      </c>
      <c r="N4" t="s">
        <v>2022</v>
      </c>
      <c r="O4" t="s">
        <v>569</v>
      </c>
      <c r="P4">
        <v>202.54</v>
      </c>
      <c r="Q4">
        <v>1</v>
      </c>
      <c r="R4" t="s">
        <v>93</v>
      </c>
      <c r="S4" s="5">
        <v>15</v>
      </c>
      <c r="T4" s="3">
        <v>3</v>
      </c>
      <c r="U4" s="4" t="str">
        <f t="shared" si="3"/>
        <v>Before_time</v>
      </c>
      <c r="V4">
        <v>47</v>
      </c>
      <c r="W4" s="3">
        <f t="shared" si="4"/>
        <v>2</v>
      </c>
      <c r="X4" s="2">
        <v>45344</v>
      </c>
      <c r="Y4" s="1">
        <f>YEAR(Table2[[#This Row],[Delivery_Date]])</f>
        <v>2024</v>
      </c>
      <c r="Z4" s="2" t="str">
        <f t="shared" si="5"/>
        <v>Feb</v>
      </c>
      <c r="AA4" t="s">
        <v>2021</v>
      </c>
      <c r="AB4">
        <f t="shared" si="6"/>
        <v>219.15899999999999</v>
      </c>
      <c r="AC4">
        <f>Table2[[#This Row],[Price]]*Table2[[#This Row],[Quantity]]*Table2[[#This Row],[COUPON %]]/100</f>
        <v>30.381</v>
      </c>
      <c r="AD4">
        <f t="shared" si="7"/>
        <v>172.15899999999999</v>
      </c>
      <c r="AE4" s="1">
        <f t="shared" si="8"/>
        <v>202.54</v>
      </c>
    </row>
    <row r="5" spans="1:31" x14ac:dyDescent="0.25">
      <c r="A5" t="s">
        <v>1999</v>
      </c>
      <c r="B5" t="str">
        <f t="shared" si="0"/>
        <v xml:space="preserve">Karl Gallagher </v>
      </c>
      <c r="C5" t="s">
        <v>1998</v>
      </c>
      <c r="D5" t="s">
        <v>1997</v>
      </c>
      <c r="E5">
        <v>60</v>
      </c>
      <c r="F5" t="str">
        <f t="shared" si="1"/>
        <v>&gt;45</v>
      </c>
      <c r="G5" t="s">
        <v>8</v>
      </c>
      <c r="H5" t="s">
        <v>107</v>
      </c>
      <c r="I5" t="s">
        <v>1996</v>
      </c>
      <c r="J5" t="str">
        <f t="shared" si="2"/>
        <v>rediffmail.com</v>
      </c>
      <c r="K5" t="s">
        <v>1995</v>
      </c>
      <c r="L5" t="s">
        <v>2020</v>
      </c>
      <c r="M5" s="2">
        <v>45426</v>
      </c>
      <c r="N5" t="s">
        <v>2019</v>
      </c>
      <c r="O5" t="s">
        <v>181</v>
      </c>
      <c r="P5">
        <v>405</v>
      </c>
      <c r="Q5">
        <v>5</v>
      </c>
      <c r="R5" t="s">
        <v>1</v>
      </c>
      <c r="S5" s="5">
        <v>0</v>
      </c>
      <c r="T5" s="3">
        <v>6</v>
      </c>
      <c r="U5" s="4" t="str">
        <f t="shared" si="3"/>
        <v>Before_time</v>
      </c>
      <c r="V5">
        <v>47</v>
      </c>
      <c r="W5" s="3">
        <f t="shared" si="4"/>
        <v>4</v>
      </c>
      <c r="X5" s="2">
        <v>45430</v>
      </c>
      <c r="Y5" s="1">
        <f>YEAR(Table2[[#This Row],[Delivery_Date]])</f>
        <v>2024</v>
      </c>
      <c r="Z5" s="2" t="str">
        <f t="shared" si="5"/>
        <v>May</v>
      </c>
      <c r="AA5" t="s">
        <v>2018</v>
      </c>
      <c r="AB5">
        <f t="shared" si="6"/>
        <v>2072</v>
      </c>
      <c r="AC5">
        <f>Table2[[#This Row],[Price]]*Table2[[#This Row],[Quantity]]*Table2[[#This Row],[COUPON %]]/100</f>
        <v>0</v>
      </c>
      <c r="AD5">
        <f t="shared" si="7"/>
        <v>2025</v>
      </c>
      <c r="AE5" s="1">
        <f t="shared" si="8"/>
        <v>2025</v>
      </c>
    </row>
    <row r="6" spans="1:31" x14ac:dyDescent="0.25">
      <c r="A6" t="s">
        <v>262</v>
      </c>
      <c r="B6" t="str">
        <f t="shared" si="0"/>
        <v xml:space="preserve">Angela Horne </v>
      </c>
      <c r="C6" t="s">
        <v>10</v>
      </c>
      <c r="D6" t="s">
        <v>261</v>
      </c>
      <c r="E6">
        <v>49</v>
      </c>
      <c r="F6" t="str">
        <f t="shared" si="1"/>
        <v>&gt;45</v>
      </c>
      <c r="G6" t="s">
        <v>8</v>
      </c>
      <c r="H6" t="s">
        <v>107</v>
      </c>
      <c r="I6" t="s">
        <v>260</v>
      </c>
      <c r="J6" t="str">
        <f t="shared" si="2"/>
        <v>outlook.com</v>
      </c>
      <c r="K6" t="s">
        <v>259</v>
      </c>
      <c r="L6" t="s">
        <v>2017</v>
      </c>
      <c r="M6" s="2">
        <v>45391</v>
      </c>
      <c r="N6" t="s">
        <v>2016</v>
      </c>
      <c r="O6" t="s">
        <v>211</v>
      </c>
      <c r="P6">
        <v>166.28</v>
      </c>
      <c r="Q6">
        <v>1</v>
      </c>
      <c r="R6" t="s">
        <v>34</v>
      </c>
      <c r="S6" s="5">
        <v>8</v>
      </c>
      <c r="T6" s="3">
        <v>2</v>
      </c>
      <c r="U6" s="4" t="str">
        <f t="shared" si="3"/>
        <v>Late_Delivery</v>
      </c>
      <c r="V6">
        <v>54</v>
      </c>
      <c r="W6" s="3">
        <f t="shared" si="4"/>
        <v>4</v>
      </c>
      <c r="X6" s="2">
        <v>45395</v>
      </c>
      <c r="Y6" s="1">
        <f>YEAR(Table2[[#This Row],[Delivery_Date]])</f>
        <v>2024</v>
      </c>
      <c r="Z6" s="2" t="str">
        <f t="shared" si="5"/>
        <v>Apr</v>
      </c>
      <c r="AA6" t="s">
        <v>2015</v>
      </c>
      <c r="AB6">
        <f t="shared" si="6"/>
        <v>206.9776</v>
      </c>
      <c r="AC6">
        <f>Table2[[#This Row],[Price]]*Table2[[#This Row],[Quantity]]*Table2[[#This Row],[COUPON %]]/100</f>
        <v>13.3024</v>
      </c>
      <c r="AD6">
        <f t="shared" si="7"/>
        <v>152.9776</v>
      </c>
      <c r="AE6" s="1">
        <f t="shared" si="8"/>
        <v>166.28</v>
      </c>
    </row>
    <row r="7" spans="1:31" x14ac:dyDescent="0.25">
      <c r="A7" t="s">
        <v>1447</v>
      </c>
      <c r="B7" t="str">
        <f t="shared" si="0"/>
        <v xml:space="preserve">Christine West </v>
      </c>
      <c r="C7" t="s">
        <v>340</v>
      </c>
      <c r="D7" t="s">
        <v>1446</v>
      </c>
      <c r="E7">
        <v>53</v>
      </c>
      <c r="F7" t="str">
        <f t="shared" si="1"/>
        <v>&gt;45</v>
      </c>
      <c r="G7" t="s">
        <v>8</v>
      </c>
      <c r="H7" t="s">
        <v>28</v>
      </c>
      <c r="I7" t="s">
        <v>1445</v>
      </c>
      <c r="J7" t="str">
        <f t="shared" si="2"/>
        <v>gmail.com</v>
      </c>
      <c r="K7" t="s">
        <v>1444</v>
      </c>
      <c r="L7" t="s">
        <v>2014</v>
      </c>
      <c r="M7" s="2">
        <v>45543</v>
      </c>
      <c r="N7" t="s">
        <v>2013</v>
      </c>
      <c r="O7" t="s">
        <v>361</v>
      </c>
      <c r="P7">
        <v>330.11</v>
      </c>
      <c r="Q7">
        <v>4</v>
      </c>
      <c r="R7" t="s">
        <v>93</v>
      </c>
      <c r="S7" s="5">
        <v>15</v>
      </c>
      <c r="T7" s="3">
        <v>6</v>
      </c>
      <c r="U7" s="4" t="str">
        <f t="shared" si="3"/>
        <v>Before_time</v>
      </c>
      <c r="V7">
        <v>39</v>
      </c>
      <c r="W7" s="3">
        <f t="shared" si="4"/>
        <v>4</v>
      </c>
      <c r="X7" s="2">
        <v>45547</v>
      </c>
      <c r="Y7" s="1">
        <f>YEAR(Table2[[#This Row],[Delivery_Date]])</f>
        <v>2024</v>
      </c>
      <c r="Z7" s="2" t="str">
        <f t="shared" si="5"/>
        <v>Sep</v>
      </c>
      <c r="AA7" t="s">
        <v>2012</v>
      </c>
      <c r="AB7">
        <f t="shared" si="6"/>
        <v>1161.374</v>
      </c>
      <c r="AC7">
        <f>Table2[[#This Row],[Price]]*Table2[[#This Row],[Quantity]]*Table2[[#This Row],[COUPON %]]/100</f>
        <v>198.06600000000003</v>
      </c>
      <c r="AD7">
        <f t="shared" si="7"/>
        <v>1122.374</v>
      </c>
      <c r="AE7" s="1">
        <f t="shared" si="8"/>
        <v>1320.44</v>
      </c>
    </row>
    <row r="8" spans="1:31" x14ac:dyDescent="0.25">
      <c r="A8" t="s">
        <v>1999</v>
      </c>
      <c r="B8" t="str">
        <f t="shared" si="0"/>
        <v xml:space="preserve">Karl Gallagher </v>
      </c>
      <c r="C8" t="s">
        <v>1998</v>
      </c>
      <c r="D8" t="s">
        <v>1997</v>
      </c>
      <c r="E8">
        <v>60</v>
      </c>
      <c r="F8" t="str">
        <f t="shared" si="1"/>
        <v>&gt;45</v>
      </c>
      <c r="G8" t="s">
        <v>8</v>
      </c>
      <c r="H8" t="s">
        <v>107</v>
      </c>
      <c r="I8" t="s">
        <v>1996</v>
      </c>
      <c r="J8" t="str">
        <f t="shared" si="2"/>
        <v>rediffmail.com</v>
      </c>
      <c r="K8" t="s">
        <v>1995</v>
      </c>
      <c r="L8" t="s">
        <v>2011</v>
      </c>
      <c r="M8" s="2">
        <v>45662</v>
      </c>
      <c r="N8" t="s">
        <v>2010</v>
      </c>
      <c r="O8" t="s">
        <v>140</v>
      </c>
      <c r="P8">
        <v>308.88</v>
      </c>
      <c r="Q8">
        <v>5</v>
      </c>
      <c r="R8" t="s">
        <v>64</v>
      </c>
      <c r="S8" s="5">
        <v>20</v>
      </c>
      <c r="T8" s="3">
        <v>5</v>
      </c>
      <c r="U8" s="4" t="str">
        <f t="shared" si="3"/>
        <v>Before_time</v>
      </c>
      <c r="V8">
        <v>47</v>
      </c>
      <c r="W8" s="3">
        <f t="shared" si="4"/>
        <v>3</v>
      </c>
      <c r="X8" s="2">
        <v>45665</v>
      </c>
      <c r="Y8" s="1">
        <f>YEAR(Table2[[#This Row],[Delivery_Date]])</f>
        <v>2025</v>
      </c>
      <c r="Z8" s="2" t="str">
        <f t="shared" si="5"/>
        <v>Jan</v>
      </c>
      <c r="AA8" t="s">
        <v>2009</v>
      </c>
      <c r="AB8">
        <f t="shared" si="6"/>
        <v>1282.5200000000002</v>
      </c>
      <c r="AC8">
        <f>Table2[[#This Row],[Price]]*Table2[[#This Row],[Quantity]]*Table2[[#This Row],[COUPON %]]/100</f>
        <v>308.88</v>
      </c>
      <c r="AD8">
        <f t="shared" si="7"/>
        <v>1235.5200000000002</v>
      </c>
      <c r="AE8" s="1">
        <f t="shared" si="8"/>
        <v>1544.4</v>
      </c>
    </row>
    <row r="9" spans="1:31" x14ac:dyDescent="0.25">
      <c r="A9" t="s">
        <v>484</v>
      </c>
      <c r="B9" t="str">
        <f t="shared" si="0"/>
        <v xml:space="preserve">David Delacruz </v>
      </c>
      <c r="C9" t="s">
        <v>483</v>
      </c>
      <c r="D9" t="s">
        <v>482</v>
      </c>
      <c r="E9">
        <v>26</v>
      </c>
      <c r="F9" t="str">
        <f t="shared" si="1"/>
        <v>26-35</v>
      </c>
      <c r="G9" t="s">
        <v>29</v>
      </c>
      <c r="H9" t="s">
        <v>118</v>
      </c>
      <c r="I9" t="s">
        <v>481</v>
      </c>
      <c r="J9" t="str">
        <f t="shared" si="2"/>
        <v>rediffmail.com</v>
      </c>
      <c r="K9" t="s">
        <v>480</v>
      </c>
      <c r="L9" t="s">
        <v>2008</v>
      </c>
      <c r="M9" s="2">
        <v>45459</v>
      </c>
      <c r="N9" t="s">
        <v>2007</v>
      </c>
      <c r="O9" t="s">
        <v>457</v>
      </c>
      <c r="P9">
        <v>363.64</v>
      </c>
      <c r="Q9">
        <v>3</v>
      </c>
      <c r="R9" t="s">
        <v>166</v>
      </c>
      <c r="S9" s="5">
        <v>10</v>
      </c>
      <c r="T9" s="3">
        <v>2</v>
      </c>
      <c r="U9" s="4" t="str">
        <f t="shared" si="3"/>
        <v>Late_Delivery</v>
      </c>
      <c r="V9">
        <v>70</v>
      </c>
      <c r="W9" s="3">
        <f t="shared" si="4"/>
        <v>5</v>
      </c>
      <c r="X9" s="2">
        <v>45464</v>
      </c>
      <c r="Y9" s="1">
        <f>YEAR(Table2[[#This Row],[Delivery_Date]])</f>
        <v>2024</v>
      </c>
      <c r="Z9" s="2" t="str">
        <f t="shared" si="5"/>
        <v>Jun</v>
      </c>
      <c r="AA9" t="s">
        <v>2006</v>
      </c>
      <c r="AB9">
        <f t="shared" si="6"/>
        <v>1051.828</v>
      </c>
      <c r="AC9">
        <f>Table2[[#This Row],[Price]]*Table2[[#This Row],[Quantity]]*Table2[[#This Row],[COUPON %]]/100</f>
        <v>109.09200000000001</v>
      </c>
      <c r="AD9">
        <f t="shared" si="7"/>
        <v>981.82800000000009</v>
      </c>
      <c r="AE9" s="1">
        <f t="shared" si="8"/>
        <v>1090.92</v>
      </c>
    </row>
    <row r="10" spans="1:31" x14ac:dyDescent="0.25">
      <c r="A10" t="s">
        <v>1632</v>
      </c>
      <c r="B10" t="str">
        <f t="shared" si="0"/>
        <v xml:space="preserve">Marcus Valenzuela </v>
      </c>
      <c r="C10" t="s">
        <v>853</v>
      </c>
      <c r="D10" t="s">
        <v>1631</v>
      </c>
      <c r="E10">
        <v>39</v>
      </c>
      <c r="F10" t="str">
        <f t="shared" si="1"/>
        <v>36-45</v>
      </c>
      <c r="G10" t="s">
        <v>108</v>
      </c>
      <c r="H10" t="s">
        <v>107</v>
      </c>
      <c r="I10" t="s">
        <v>1630</v>
      </c>
      <c r="J10" t="str">
        <f t="shared" si="2"/>
        <v>yahoo.com</v>
      </c>
      <c r="K10" t="s">
        <v>1629</v>
      </c>
      <c r="L10" t="s">
        <v>2005</v>
      </c>
      <c r="M10" s="2">
        <v>45040</v>
      </c>
      <c r="N10" t="s">
        <v>2004</v>
      </c>
      <c r="O10" t="s">
        <v>729</v>
      </c>
      <c r="P10">
        <v>275.44</v>
      </c>
      <c r="Q10">
        <v>1</v>
      </c>
      <c r="R10" t="s">
        <v>34</v>
      </c>
      <c r="S10" s="5">
        <v>8</v>
      </c>
      <c r="T10" s="3">
        <v>7</v>
      </c>
      <c r="U10" s="4" t="str">
        <f t="shared" si="3"/>
        <v>Before_time</v>
      </c>
      <c r="V10">
        <v>63</v>
      </c>
      <c r="W10" s="3">
        <f t="shared" si="4"/>
        <v>2</v>
      </c>
      <c r="X10" s="2">
        <v>45042</v>
      </c>
      <c r="Y10" s="1">
        <f>YEAR(Table2[[#This Row],[Delivery_Date]])</f>
        <v>2023</v>
      </c>
      <c r="Z10" s="2" t="str">
        <f t="shared" si="5"/>
        <v>Apr</v>
      </c>
      <c r="AA10" t="s">
        <v>2003</v>
      </c>
      <c r="AB10">
        <f t="shared" si="6"/>
        <v>316.40480000000002</v>
      </c>
      <c r="AC10">
        <f>Table2[[#This Row],[Price]]*Table2[[#This Row],[Quantity]]*Table2[[#This Row],[COUPON %]]/100</f>
        <v>22.0352</v>
      </c>
      <c r="AD10">
        <f t="shared" si="7"/>
        <v>253.40480000000002</v>
      </c>
      <c r="AE10" s="1">
        <f t="shared" si="8"/>
        <v>275.44</v>
      </c>
    </row>
    <row r="11" spans="1:31" x14ac:dyDescent="0.25">
      <c r="A11" t="s">
        <v>564</v>
      </c>
      <c r="B11" t="str">
        <f t="shared" si="0"/>
        <v xml:space="preserve">Debra Rodriguez </v>
      </c>
      <c r="C11" t="s">
        <v>230</v>
      </c>
      <c r="D11" t="s">
        <v>563</v>
      </c>
      <c r="E11">
        <v>48</v>
      </c>
      <c r="F11" t="str">
        <f t="shared" si="1"/>
        <v>&gt;45</v>
      </c>
      <c r="G11" t="s">
        <v>8</v>
      </c>
      <c r="H11" t="s">
        <v>7</v>
      </c>
      <c r="I11" t="s">
        <v>562</v>
      </c>
      <c r="J11" t="str">
        <f t="shared" si="2"/>
        <v>rediffmail.com</v>
      </c>
      <c r="K11" t="s">
        <v>561</v>
      </c>
      <c r="L11" t="s">
        <v>2002</v>
      </c>
      <c r="M11" s="2">
        <v>45282</v>
      </c>
      <c r="N11" t="s">
        <v>2001</v>
      </c>
      <c r="O11" t="s">
        <v>131</v>
      </c>
      <c r="P11">
        <v>48.45</v>
      </c>
      <c r="Q11">
        <v>1</v>
      </c>
      <c r="R11" t="s">
        <v>93</v>
      </c>
      <c r="S11" s="5">
        <v>15</v>
      </c>
      <c r="T11" s="3">
        <v>7</v>
      </c>
      <c r="U11" s="4" t="str">
        <f t="shared" si="3"/>
        <v>Before_time</v>
      </c>
      <c r="V11">
        <v>59</v>
      </c>
      <c r="W11" s="3">
        <f t="shared" si="4"/>
        <v>5</v>
      </c>
      <c r="X11" s="2">
        <v>45287</v>
      </c>
      <c r="Y11" s="1">
        <f>YEAR(Table2[[#This Row],[Delivery_Date]])</f>
        <v>2023</v>
      </c>
      <c r="Z11" s="2" t="str">
        <f t="shared" si="5"/>
        <v>Dec</v>
      </c>
      <c r="AA11" t="s">
        <v>2000</v>
      </c>
      <c r="AB11">
        <f t="shared" si="6"/>
        <v>100.1825</v>
      </c>
      <c r="AC11">
        <f>Table2[[#This Row],[Price]]*Table2[[#This Row],[Quantity]]*Table2[[#This Row],[COUPON %]]/100</f>
        <v>7.2675000000000001</v>
      </c>
      <c r="AD11">
        <f t="shared" si="7"/>
        <v>41.182500000000005</v>
      </c>
      <c r="AE11" s="1">
        <f t="shared" si="8"/>
        <v>48.45</v>
      </c>
    </row>
    <row r="12" spans="1:31" x14ac:dyDescent="0.25">
      <c r="A12" t="s">
        <v>1999</v>
      </c>
      <c r="B12" t="str">
        <f t="shared" si="0"/>
        <v xml:space="preserve">Karl Gallagher </v>
      </c>
      <c r="C12" t="s">
        <v>1998</v>
      </c>
      <c r="D12" t="s">
        <v>1997</v>
      </c>
      <c r="E12">
        <v>60</v>
      </c>
      <c r="F12" t="str">
        <f t="shared" si="1"/>
        <v>&gt;45</v>
      </c>
      <c r="G12" t="s">
        <v>8</v>
      </c>
      <c r="H12" t="s">
        <v>107</v>
      </c>
      <c r="I12" t="s">
        <v>1996</v>
      </c>
      <c r="J12" t="str">
        <f t="shared" si="2"/>
        <v>rediffmail.com</v>
      </c>
      <c r="K12" t="s">
        <v>1995</v>
      </c>
      <c r="L12" t="s">
        <v>1994</v>
      </c>
      <c r="M12" s="2">
        <v>45588</v>
      </c>
      <c r="N12" t="s">
        <v>1993</v>
      </c>
      <c r="O12" t="s">
        <v>457</v>
      </c>
      <c r="P12">
        <v>363.64</v>
      </c>
      <c r="Q12">
        <v>4</v>
      </c>
      <c r="R12" t="s">
        <v>1</v>
      </c>
      <c r="S12" s="5">
        <v>0</v>
      </c>
      <c r="T12" s="3">
        <v>2</v>
      </c>
      <c r="U12" s="4" t="str">
        <f t="shared" si="3"/>
        <v>On_time</v>
      </c>
      <c r="V12">
        <v>35</v>
      </c>
      <c r="W12" s="3">
        <f t="shared" si="4"/>
        <v>2</v>
      </c>
      <c r="X12" s="2">
        <v>45590</v>
      </c>
      <c r="Y12" s="1">
        <f>YEAR(Table2[[#This Row],[Delivery_Date]])</f>
        <v>2024</v>
      </c>
      <c r="Z12" s="2" t="str">
        <f t="shared" si="5"/>
        <v>Oct</v>
      </c>
      <c r="AA12" t="s">
        <v>1992</v>
      </c>
      <c r="AB12">
        <f t="shared" si="6"/>
        <v>1489.56</v>
      </c>
      <c r="AC12">
        <f>Table2[[#This Row],[Price]]*Table2[[#This Row],[Quantity]]*Table2[[#This Row],[COUPON %]]/100</f>
        <v>0</v>
      </c>
      <c r="AD12">
        <f t="shared" si="7"/>
        <v>1454.56</v>
      </c>
      <c r="AE12" s="1">
        <f t="shared" si="8"/>
        <v>1454.56</v>
      </c>
    </row>
    <row r="13" spans="1:31" x14ac:dyDescent="0.25">
      <c r="A13" t="s">
        <v>1527</v>
      </c>
      <c r="B13" t="str">
        <f t="shared" si="0"/>
        <v xml:space="preserve">Bobby Forbes </v>
      </c>
      <c r="C13" t="s">
        <v>1526</v>
      </c>
      <c r="D13" t="s">
        <v>1525</v>
      </c>
      <c r="E13">
        <v>20</v>
      </c>
      <c r="F13" t="str">
        <f t="shared" si="1"/>
        <v>0-25</v>
      </c>
      <c r="G13" t="s">
        <v>108</v>
      </c>
      <c r="H13" t="s">
        <v>118</v>
      </c>
      <c r="I13" t="s">
        <v>1524</v>
      </c>
      <c r="J13" t="str">
        <f t="shared" si="2"/>
        <v>gmail.com</v>
      </c>
      <c r="K13" t="s">
        <v>1523</v>
      </c>
      <c r="L13" t="s">
        <v>1991</v>
      </c>
      <c r="M13" s="2">
        <v>45498</v>
      </c>
      <c r="N13" t="s">
        <v>1990</v>
      </c>
      <c r="O13" t="s">
        <v>343</v>
      </c>
      <c r="P13">
        <v>257.06</v>
      </c>
      <c r="Q13">
        <v>3</v>
      </c>
      <c r="R13" t="s">
        <v>1</v>
      </c>
      <c r="S13" s="5">
        <v>0</v>
      </c>
      <c r="T13" s="3">
        <v>7</v>
      </c>
      <c r="U13" s="4" t="str">
        <f t="shared" si="3"/>
        <v>Before_time</v>
      </c>
      <c r="V13">
        <v>62</v>
      </c>
      <c r="W13" s="3">
        <f t="shared" si="4"/>
        <v>1</v>
      </c>
      <c r="X13" s="2">
        <v>45499</v>
      </c>
      <c r="Y13" s="1">
        <f>YEAR(Table2[[#This Row],[Delivery_Date]])</f>
        <v>2024</v>
      </c>
      <c r="Z13" s="2" t="str">
        <f t="shared" si="5"/>
        <v>Jul</v>
      </c>
      <c r="AA13" t="s">
        <v>1989</v>
      </c>
      <c r="AB13">
        <f t="shared" si="6"/>
        <v>833.18000000000006</v>
      </c>
      <c r="AC13">
        <f>Table2[[#This Row],[Price]]*Table2[[#This Row],[Quantity]]*Table2[[#This Row],[COUPON %]]/100</f>
        <v>0</v>
      </c>
      <c r="AD13">
        <f t="shared" si="7"/>
        <v>771.18000000000006</v>
      </c>
      <c r="AE13" s="1">
        <f t="shared" si="8"/>
        <v>771.18000000000006</v>
      </c>
    </row>
    <row r="14" spans="1:31" x14ac:dyDescent="0.25">
      <c r="A14" t="s">
        <v>129</v>
      </c>
      <c r="B14" t="str">
        <f t="shared" si="0"/>
        <v xml:space="preserve">Joseph Stewart </v>
      </c>
      <c r="C14" t="s">
        <v>128</v>
      </c>
      <c r="D14" t="s">
        <v>89</v>
      </c>
      <c r="E14">
        <v>30</v>
      </c>
      <c r="F14" t="str">
        <f t="shared" si="1"/>
        <v>26-35</v>
      </c>
      <c r="G14" t="s">
        <v>29</v>
      </c>
      <c r="H14" t="s">
        <v>7</v>
      </c>
      <c r="I14" t="s">
        <v>127</v>
      </c>
      <c r="J14" t="str">
        <f t="shared" si="2"/>
        <v>yahoo.com</v>
      </c>
      <c r="K14" t="s">
        <v>126</v>
      </c>
      <c r="L14" t="s">
        <v>1988</v>
      </c>
      <c r="M14" s="2">
        <v>44997</v>
      </c>
      <c r="N14" t="s">
        <v>1987</v>
      </c>
      <c r="O14" t="s">
        <v>714</v>
      </c>
      <c r="P14">
        <v>175.93</v>
      </c>
      <c r="Q14">
        <v>4</v>
      </c>
      <c r="R14" t="s">
        <v>34</v>
      </c>
      <c r="S14" s="5">
        <v>8</v>
      </c>
      <c r="T14" s="3">
        <v>3</v>
      </c>
      <c r="U14" s="4" t="str">
        <f t="shared" si="3"/>
        <v>Before_time</v>
      </c>
      <c r="V14">
        <v>65</v>
      </c>
      <c r="W14" s="3">
        <f t="shared" si="4"/>
        <v>2</v>
      </c>
      <c r="X14" s="2">
        <v>44999</v>
      </c>
      <c r="Y14" s="1">
        <f>YEAR(Table2[[#This Row],[Delivery_Date]])</f>
        <v>2023</v>
      </c>
      <c r="Z14" s="2" t="str">
        <f t="shared" si="5"/>
        <v>Mar</v>
      </c>
      <c r="AA14" t="s">
        <v>1986</v>
      </c>
      <c r="AB14">
        <f t="shared" si="6"/>
        <v>712.42240000000004</v>
      </c>
      <c r="AC14">
        <f>Table2[[#This Row],[Price]]*Table2[[#This Row],[Quantity]]*Table2[[#This Row],[COUPON %]]/100</f>
        <v>56.297600000000003</v>
      </c>
      <c r="AD14">
        <f t="shared" si="7"/>
        <v>647.42240000000004</v>
      </c>
      <c r="AE14" s="1">
        <f t="shared" si="8"/>
        <v>703.72</v>
      </c>
    </row>
    <row r="15" spans="1:31" x14ac:dyDescent="0.25">
      <c r="A15" t="s">
        <v>62</v>
      </c>
      <c r="B15" t="str">
        <f t="shared" si="0"/>
        <v xml:space="preserve">Kara Brennan </v>
      </c>
      <c r="C15" t="s">
        <v>61</v>
      </c>
      <c r="D15" t="s">
        <v>60</v>
      </c>
      <c r="E15">
        <v>25</v>
      </c>
      <c r="F15" t="str">
        <f t="shared" si="1"/>
        <v>0-25</v>
      </c>
      <c r="G15" t="s">
        <v>8</v>
      </c>
      <c r="H15" t="s">
        <v>59</v>
      </c>
      <c r="I15" t="s">
        <v>58</v>
      </c>
      <c r="J15" t="str">
        <f t="shared" si="2"/>
        <v>outlook.com</v>
      </c>
      <c r="K15" t="s">
        <v>57</v>
      </c>
      <c r="L15" t="s">
        <v>1985</v>
      </c>
      <c r="M15" s="2">
        <v>45267</v>
      </c>
      <c r="N15" t="s">
        <v>1984</v>
      </c>
      <c r="O15" t="s">
        <v>644</v>
      </c>
      <c r="P15">
        <v>190.1</v>
      </c>
      <c r="Q15">
        <v>1</v>
      </c>
      <c r="R15" t="s">
        <v>1</v>
      </c>
      <c r="S15" s="5">
        <v>0</v>
      </c>
      <c r="T15" s="3">
        <v>1</v>
      </c>
      <c r="U15" s="4" t="str">
        <f t="shared" si="3"/>
        <v>Late_Delivery</v>
      </c>
      <c r="V15">
        <v>70</v>
      </c>
      <c r="W15" s="3">
        <f t="shared" si="4"/>
        <v>3</v>
      </c>
      <c r="X15" s="2">
        <v>45270</v>
      </c>
      <c r="Y15" s="1">
        <f>YEAR(Table2[[#This Row],[Delivery_Date]])</f>
        <v>2023</v>
      </c>
      <c r="Z15" s="2" t="str">
        <f t="shared" si="5"/>
        <v>Dec</v>
      </c>
      <c r="AA15" t="s">
        <v>1983</v>
      </c>
      <c r="AB15">
        <f t="shared" si="6"/>
        <v>260.10000000000002</v>
      </c>
      <c r="AC15">
        <f>Table2[[#This Row],[Price]]*Table2[[#This Row],[Quantity]]*Table2[[#This Row],[COUPON %]]/100</f>
        <v>0</v>
      </c>
      <c r="AD15">
        <f t="shared" si="7"/>
        <v>190.1</v>
      </c>
      <c r="AE15" s="1">
        <f t="shared" si="8"/>
        <v>190.1</v>
      </c>
    </row>
    <row r="16" spans="1:31" x14ac:dyDescent="0.25">
      <c r="A16" t="s">
        <v>1129</v>
      </c>
      <c r="B16" t="str">
        <f t="shared" si="0"/>
        <v xml:space="preserve">Amy Reid </v>
      </c>
      <c r="C16" t="s">
        <v>270</v>
      </c>
      <c r="D16" t="s">
        <v>1128</v>
      </c>
      <c r="E16">
        <v>44</v>
      </c>
      <c r="F16" t="str">
        <f t="shared" si="1"/>
        <v>36-45</v>
      </c>
      <c r="G16" t="s">
        <v>29</v>
      </c>
      <c r="H16" t="s">
        <v>118</v>
      </c>
      <c r="I16" t="s">
        <v>1127</v>
      </c>
      <c r="J16" t="str">
        <f t="shared" si="2"/>
        <v>rediffmail.com</v>
      </c>
      <c r="K16" t="s">
        <v>1126</v>
      </c>
      <c r="L16" t="s">
        <v>1982</v>
      </c>
      <c r="M16" s="2">
        <v>45377</v>
      </c>
      <c r="N16" t="s">
        <v>1981</v>
      </c>
      <c r="O16" t="s">
        <v>54</v>
      </c>
      <c r="P16">
        <v>220.27</v>
      </c>
      <c r="Q16">
        <v>2</v>
      </c>
      <c r="R16" t="s">
        <v>1</v>
      </c>
      <c r="S16" s="5">
        <v>0</v>
      </c>
      <c r="T16" s="3">
        <v>3</v>
      </c>
      <c r="U16" s="4" t="str">
        <f t="shared" si="3"/>
        <v>Late_Delivery</v>
      </c>
      <c r="V16">
        <v>39</v>
      </c>
      <c r="W16" s="3">
        <f t="shared" si="4"/>
        <v>5</v>
      </c>
      <c r="X16" s="2">
        <v>45382</v>
      </c>
      <c r="Y16" s="1">
        <f>YEAR(Table2[[#This Row],[Delivery_Date]])</f>
        <v>2024</v>
      </c>
      <c r="Z16" s="2" t="str">
        <f t="shared" si="5"/>
        <v>Mar</v>
      </c>
      <c r="AA16" t="s">
        <v>1980</v>
      </c>
      <c r="AB16">
        <f t="shared" si="6"/>
        <v>479.54</v>
      </c>
      <c r="AC16">
        <f>Table2[[#This Row],[Price]]*Table2[[#This Row],[Quantity]]*Table2[[#This Row],[COUPON %]]/100</f>
        <v>0</v>
      </c>
      <c r="AD16">
        <f t="shared" si="7"/>
        <v>440.54</v>
      </c>
      <c r="AE16" s="1">
        <f t="shared" si="8"/>
        <v>440.54</v>
      </c>
    </row>
    <row r="17" spans="1:31" x14ac:dyDescent="0.25">
      <c r="A17" t="s">
        <v>761</v>
      </c>
      <c r="B17" t="str">
        <f t="shared" si="0"/>
        <v xml:space="preserve">Joshua Campbell </v>
      </c>
      <c r="C17" t="s">
        <v>760</v>
      </c>
      <c r="D17" t="s">
        <v>759</v>
      </c>
      <c r="E17">
        <v>24</v>
      </c>
      <c r="F17" t="str">
        <f t="shared" si="1"/>
        <v>0-25</v>
      </c>
      <c r="G17" t="s">
        <v>108</v>
      </c>
      <c r="H17" t="s">
        <v>40</v>
      </c>
      <c r="I17" t="s">
        <v>758</v>
      </c>
      <c r="J17" t="str">
        <f t="shared" si="2"/>
        <v>gmail.com</v>
      </c>
      <c r="K17" t="s">
        <v>757</v>
      </c>
      <c r="L17" t="s">
        <v>1979</v>
      </c>
      <c r="M17" s="2">
        <v>45079</v>
      </c>
      <c r="N17" t="s">
        <v>1978</v>
      </c>
      <c r="O17" t="s">
        <v>361</v>
      </c>
      <c r="P17">
        <v>330.11</v>
      </c>
      <c r="Q17">
        <v>4</v>
      </c>
      <c r="R17" t="s">
        <v>1</v>
      </c>
      <c r="S17" s="5">
        <v>0</v>
      </c>
      <c r="T17" s="3">
        <v>1</v>
      </c>
      <c r="U17" s="4" t="str">
        <f t="shared" si="3"/>
        <v>On_time</v>
      </c>
      <c r="V17">
        <v>58</v>
      </c>
      <c r="W17" s="3">
        <f t="shared" si="4"/>
        <v>1</v>
      </c>
      <c r="X17" s="2">
        <v>45080</v>
      </c>
      <c r="Y17" s="1">
        <f>YEAR(Table2[[#This Row],[Delivery_Date]])</f>
        <v>2023</v>
      </c>
      <c r="Z17" s="2" t="str">
        <f t="shared" si="5"/>
        <v>Jun</v>
      </c>
      <c r="AA17" t="s">
        <v>1977</v>
      </c>
      <c r="AB17">
        <f t="shared" si="6"/>
        <v>1378.44</v>
      </c>
      <c r="AC17">
        <f>Table2[[#This Row],[Price]]*Table2[[#This Row],[Quantity]]*Table2[[#This Row],[COUPON %]]/100</f>
        <v>0</v>
      </c>
      <c r="AD17">
        <f t="shared" si="7"/>
        <v>1320.44</v>
      </c>
      <c r="AE17" s="1">
        <f t="shared" si="8"/>
        <v>1320.44</v>
      </c>
    </row>
    <row r="18" spans="1:31" x14ac:dyDescent="0.25">
      <c r="A18" t="s">
        <v>297</v>
      </c>
      <c r="B18" t="str">
        <f t="shared" si="0"/>
        <v xml:space="preserve">Erin Miller </v>
      </c>
      <c r="C18" t="s">
        <v>296</v>
      </c>
      <c r="D18" t="s">
        <v>295</v>
      </c>
      <c r="E18">
        <v>46</v>
      </c>
      <c r="F18" t="str">
        <f t="shared" si="1"/>
        <v>&gt;45</v>
      </c>
      <c r="G18" t="s">
        <v>108</v>
      </c>
      <c r="H18" t="s">
        <v>79</v>
      </c>
      <c r="I18" t="s">
        <v>294</v>
      </c>
      <c r="J18" t="str">
        <f t="shared" si="2"/>
        <v>gmail.com</v>
      </c>
      <c r="K18" t="s">
        <v>293</v>
      </c>
      <c r="L18" t="s">
        <v>1976</v>
      </c>
      <c r="M18" s="2">
        <v>44966</v>
      </c>
      <c r="N18" t="s">
        <v>1975</v>
      </c>
      <c r="O18" t="s">
        <v>23</v>
      </c>
      <c r="P18">
        <v>272.51</v>
      </c>
      <c r="Q18">
        <v>4</v>
      </c>
      <c r="R18" t="s">
        <v>166</v>
      </c>
      <c r="S18" s="5">
        <v>10</v>
      </c>
      <c r="T18" s="3">
        <v>5</v>
      </c>
      <c r="U18" s="4" t="str">
        <f t="shared" si="3"/>
        <v>Before_time</v>
      </c>
      <c r="V18">
        <v>40</v>
      </c>
      <c r="W18" s="3">
        <f t="shared" si="4"/>
        <v>4</v>
      </c>
      <c r="X18" s="2">
        <v>44970</v>
      </c>
      <c r="Y18" s="1">
        <f>YEAR(Table2[[#This Row],[Delivery_Date]])</f>
        <v>2023</v>
      </c>
      <c r="Z18" s="2" t="str">
        <f t="shared" si="5"/>
        <v>Feb</v>
      </c>
      <c r="AA18" t="s">
        <v>1974</v>
      </c>
      <c r="AB18">
        <f t="shared" si="6"/>
        <v>1021.0359999999999</v>
      </c>
      <c r="AC18">
        <f>Table2[[#This Row],[Price]]*Table2[[#This Row],[Quantity]]*Table2[[#This Row],[COUPON %]]/100</f>
        <v>109.00399999999999</v>
      </c>
      <c r="AD18">
        <f t="shared" si="7"/>
        <v>981.03599999999994</v>
      </c>
      <c r="AE18" s="1">
        <f t="shared" si="8"/>
        <v>1090.04</v>
      </c>
    </row>
    <row r="19" spans="1:31" x14ac:dyDescent="0.25">
      <c r="A19" t="s">
        <v>72</v>
      </c>
      <c r="B19" t="str">
        <f t="shared" si="0"/>
        <v xml:space="preserve">Gina Moreno </v>
      </c>
      <c r="C19" t="s">
        <v>71</v>
      </c>
      <c r="D19" t="s">
        <v>70</v>
      </c>
      <c r="E19">
        <v>36</v>
      </c>
      <c r="F19" t="str">
        <f t="shared" si="1"/>
        <v>36-45</v>
      </c>
      <c r="G19" t="s">
        <v>8</v>
      </c>
      <c r="H19" t="s">
        <v>59</v>
      </c>
      <c r="I19" t="s">
        <v>69</v>
      </c>
      <c r="J19" t="str">
        <f t="shared" si="2"/>
        <v>rediffmail.com</v>
      </c>
      <c r="K19" t="s">
        <v>68</v>
      </c>
      <c r="L19" t="s">
        <v>1973</v>
      </c>
      <c r="M19" s="2">
        <v>45542</v>
      </c>
      <c r="N19" t="s">
        <v>1972</v>
      </c>
      <c r="O19" t="s">
        <v>466</v>
      </c>
      <c r="P19">
        <v>104.18</v>
      </c>
      <c r="Q19">
        <v>2</v>
      </c>
      <c r="R19" t="s">
        <v>1</v>
      </c>
      <c r="S19" s="5">
        <v>0</v>
      </c>
      <c r="T19" s="3">
        <v>4</v>
      </c>
      <c r="U19" s="4" t="str">
        <f t="shared" si="3"/>
        <v>Before_time</v>
      </c>
      <c r="V19">
        <v>44</v>
      </c>
      <c r="W19" s="3">
        <f t="shared" si="4"/>
        <v>3</v>
      </c>
      <c r="X19" s="2">
        <v>45545</v>
      </c>
      <c r="Y19" s="1">
        <f>YEAR(Table2[[#This Row],[Delivery_Date]])</f>
        <v>2024</v>
      </c>
      <c r="Z19" s="2" t="str">
        <f t="shared" si="5"/>
        <v>Sep</v>
      </c>
      <c r="AA19" t="s">
        <v>1971</v>
      </c>
      <c r="AB19">
        <f t="shared" si="6"/>
        <v>252.36</v>
      </c>
      <c r="AC19">
        <f>Table2[[#This Row],[Price]]*Table2[[#This Row],[Quantity]]*Table2[[#This Row],[COUPON %]]/100</f>
        <v>0</v>
      </c>
      <c r="AD19">
        <f t="shared" si="7"/>
        <v>208.36</v>
      </c>
      <c r="AE19" s="1">
        <f t="shared" si="8"/>
        <v>208.36</v>
      </c>
    </row>
    <row r="20" spans="1:31" x14ac:dyDescent="0.25">
      <c r="A20" t="s">
        <v>164</v>
      </c>
      <c r="B20" t="str">
        <f t="shared" si="0"/>
        <v xml:space="preserve">Mallory Mitchell </v>
      </c>
      <c r="C20" t="s">
        <v>163</v>
      </c>
      <c r="D20" t="s">
        <v>162</v>
      </c>
      <c r="E20">
        <v>42</v>
      </c>
      <c r="F20" t="str">
        <f t="shared" si="1"/>
        <v>36-45</v>
      </c>
      <c r="G20" t="s">
        <v>29</v>
      </c>
      <c r="H20" t="s">
        <v>79</v>
      </c>
      <c r="I20" t="s">
        <v>161</v>
      </c>
      <c r="J20" t="str">
        <f t="shared" si="2"/>
        <v>yahoo.com</v>
      </c>
      <c r="K20" t="s">
        <v>160</v>
      </c>
      <c r="L20" t="s">
        <v>1970</v>
      </c>
      <c r="M20" s="2">
        <v>45665</v>
      </c>
      <c r="N20" t="s">
        <v>1969</v>
      </c>
      <c r="O20" t="s">
        <v>131</v>
      </c>
      <c r="P20">
        <v>48.45</v>
      </c>
      <c r="Q20">
        <v>4</v>
      </c>
      <c r="R20" t="s">
        <v>166</v>
      </c>
      <c r="S20" s="5">
        <v>10</v>
      </c>
      <c r="T20" s="3">
        <v>1</v>
      </c>
      <c r="U20" s="4" t="str">
        <f t="shared" si="3"/>
        <v>Late_Delivery</v>
      </c>
      <c r="V20">
        <v>70</v>
      </c>
      <c r="W20" s="3">
        <f t="shared" si="4"/>
        <v>5</v>
      </c>
      <c r="X20" s="2">
        <v>45670</v>
      </c>
      <c r="Y20" s="1">
        <f>YEAR(Table2[[#This Row],[Delivery_Date]])</f>
        <v>2025</v>
      </c>
      <c r="Z20" s="2" t="str">
        <f t="shared" si="5"/>
        <v>Jan</v>
      </c>
      <c r="AA20" t="s">
        <v>1968</v>
      </c>
      <c r="AB20">
        <f t="shared" si="6"/>
        <v>244.42000000000002</v>
      </c>
      <c r="AC20">
        <f>Table2[[#This Row],[Price]]*Table2[[#This Row],[Quantity]]*Table2[[#This Row],[COUPON %]]/100</f>
        <v>19.38</v>
      </c>
      <c r="AD20">
        <f t="shared" si="7"/>
        <v>174.42000000000002</v>
      </c>
      <c r="AE20" s="1">
        <f t="shared" si="8"/>
        <v>193.8</v>
      </c>
    </row>
    <row r="21" spans="1:31" x14ac:dyDescent="0.25">
      <c r="A21" t="s">
        <v>156</v>
      </c>
      <c r="B21" t="str">
        <f t="shared" si="0"/>
        <v xml:space="preserve">Traci Jones </v>
      </c>
      <c r="C21" t="s">
        <v>155</v>
      </c>
      <c r="D21" t="s">
        <v>154</v>
      </c>
      <c r="E21">
        <v>34</v>
      </c>
      <c r="F21" t="str">
        <f t="shared" si="1"/>
        <v>26-35</v>
      </c>
      <c r="G21" t="s">
        <v>108</v>
      </c>
      <c r="H21" t="s">
        <v>118</v>
      </c>
      <c r="I21" t="s">
        <v>153</v>
      </c>
      <c r="J21" t="str">
        <f t="shared" si="2"/>
        <v>yahoo.com</v>
      </c>
      <c r="K21" t="s">
        <v>152</v>
      </c>
      <c r="L21" t="s">
        <v>1967</v>
      </c>
      <c r="M21" s="2">
        <v>45556</v>
      </c>
      <c r="N21" t="s">
        <v>1966</v>
      </c>
      <c r="O21" t="s">
        <v>65</v>
      </c>
      <c r="P21">
        <v>20.7</v>
      </c>
      <c r="Q21">
        <v>5</v>
      </c>
      <c r="R21" t="s">
        <v>1</v>
      </c>
      <c r="S21" s="5">
        <v>0</v>
      </c>
      <c r="T21" s="3">
        <v>7</v>
      </c>
      <c r="U21" s="4" t="str">
        <f t="shared" si="3"/>
        <v>Before_time</v>
      </c>
      <c r="V21">
        <v>38</v>
      </c>
      <c r="W21" s="3">
        <f t="shared" si="4"/>
        <v>5</v>
      </c>
      <c r="X21" s="2">
        <v>45561</v>
      </c>
      <c r="Y21" s="1">
        <f>YEAR(Table2[[#This Row],[Delivery_Date]])</f>
        <v>2024</v>
      </c>
      <c r="Z21" s="2" t="str">
        <f t="shared" si="5"/>
        <v>Sep</v>
      </c>
      <c r="AA21" t="s">
        <v>1965</v>
      </c>
      <c r="AB21">
        <f t="shared" si="6"/>
        <v>141.5</v>
      </c>
      <c r="AC21">
        <f>Table2[[#This Row],[Price]]*Table2[[#This Row],[Quantity]]*Table2[[#This Row],[COUPON %]]/100</f>
        <v>0</v>
      </c>
      <c r="AD21">
        <f t="shared" si="7"/>
        <v>103.5</v>
      </c>
      <c r="AE21" s="1">
        <f t="shared" si="8"/>
        <v>103.5</v>
      </c>
    </row>
    <row r="22" spans="1:31" x14ac:dyDescent="0.25">
      <c r="A22" t="s">
        <v>188</v>
      </c>
      <c r="B22" t="str">
        <f t="shared" si="0"/>
        <v xml:space="preserve">Deborah Bates </v>
      </c>
      <c r="C22" t="s">
        <v>187</v>
      </c>
      <c r="D22" t="s">
        <v>186</v>
      </c>
      <c r="E22">
        <v>23</v>
      </c>
      <c r="F22" t="str">
        <f t="shared" si="1"/>
        <v>0-25</v>
      </c>
      <c r="G22" t="s">
        <v>108</v>
      </c>
      <c r="H22" t="s">
        <v>118</v>
      </c>
      <c r="I22" t="s">
        <v>185</v>
      </c>
      <c r="J22" t="str">
        <f t="shared" si="2"/>
        <v>yahoo.com</v>
      </c>
      <c r="K22" t="s">
        <v>184</v>
      </c>
      <c r="L22" t="s">
        <v>1964</v>
      </c>
      <c r="M22" s="2">
        <v>45520</v>
      </c>
      <c r="N22" t="s">
        <v>1963</v>
      </c>
      <c r="O22" t="s">
        <v>140</v>
      </c>
      <c r="P22">
        <v>308.88</v>
      </c>
      <c r="Q22">
        <v>3</v>
      </c>
      <c r="R22" t="s">
        <v>166</v>
      </c>
      <c r="S22" s="5">
        <v>10</v>
      </c>
      <c r="T22" s="3">
        <v>7</v>
      </c>
      <c r="U22" s="4" t="str">
        <f t="shared" si="3"/>
        <v>Before_time</v>
      </c>
      <c r="V22">
        <v>43</v>
      </c>
      <c r="W22" s="3">
        <f t="shared" si="4"/>
        <v>1</v>
      </c>
      <c r="X22" s="2">
        <v>45521</v>
      </c>
      <c r="Y22" s="1">
        <f>YEAR(Table2[[#This Row],[Delivery_Date]])</f>
        <v>2024</v>
      </c>
      <c r="Z22" s="2" t="str">
        <f t="shared" si="5"/>
        <v>Aug</v>
      </c>
      <c r="AA22" t="s">
        <v>1962</v>
      </c>
      <c r="AB22">
        <f t="shared" si="6"/>
        <v>876.976</v>
      </c>
      <c r="AC22">
        <f>Table2[[#This Row],[Price]]*Table2[[#This Row],[Quantity]]*Table2[[#This Row],[COUPON %]]/100</f>
        <v>92.664000000000001</v>
      </c>
      <c r="AD22">
        <f t="shared" si="7"/>
        <v>833.976</v>
      </c>
      <c r="AE22" s="1">
        <f t="shared" si="8"/>
        <v>926.64</v>
      </c>
    </row>
    <row r="23" spans="1:31" x14ac:dyDescent="0.25">
      <c r="A23" t="s">
        <v>838</v>
      </c>
      <c r="B23" t="str">
        <f t="shared" si="0"/>
        <v xml:space="preserve">Christian Clayton </v>
      </c>
      <c r="C23" t="s">
        <v>837</v>
      </c>
      <c r="D23" t="s">
        <v>836</v>
      </c>
      <c r="E23">
        <v>39</v>
      </c>
      <c r="F23" t="str">
        <f t="shared" si="1"/>
        <v>36-45</v>
      </c>
      <c r="G23" t="s">
        <v>29</v>
      </c>
      <c r="H23" t="s">
        <v>40</v>
      </c>
      <c r="I23" t="s">
        <v>835</v>
      </c>
      <c r="J23" t="str">
        <f t="shared" si="2"/>
        <v>yahoo.com</v>
      </c>
      <c r="K23" t="s">
        <v>834</v>
      </c>
      <c r="L23" t="s">
        <v>1961</v>
      </c>
      <c r="M23" s="2">
        <v>45352</v>
      </c>
      <c r="N23" t="s">
        <v>1960</v>
      </c>
      <c r="O23" t="s">
        <v>466</v>
      </c>
      <c r="P23">
        <v>104.18</v>
      </c>
      <c r="Q23">
        <v>5</v>
      </c>
      <c r="R23" t="s">
        <v>34</v>
      </c>
      <c r="S23" s="5">
        <v>8</v>
      </c>
      <c r="T23" s="3">
        <v>5</v>
      </c>
      <c r="U23" s="4" t="str">
        <f t="shared" si="3"/>
        <v>Before_time</v>
      </c>
      <c r="V23">
        <v>58</v>
      </c>
      <c r="W23" s="3">
        <f t="shared" si="4"/>
        <v>4</v>
      </c>
      <c r="X23" s="2">
        <v>45356</v>
      </c>
      <c r="Y23" s="1">
        <f>YEAR(Table2[[#This Row],[Delivery_Date]])</f>
        <v>2024</v>
      </c>
      <c r="Z23" s="2" t="str">
        <f t="shared" si="5"/>
        <v>Mar</v>
      </c>
      <c r="AA23" t="s">
        <v>1959</v>
      </c>
      <c r="AB23">
        <f t="shared" si="6"/>
        <v>537.22800000000007</v>
      </c>
      <c r="AC23">
        <f>Table2[[#This Row],[Price]]*Table2[[#This Row],[Quantity]]*Table2[[#This Row],[COUPON %]]/100</f>
        <v>41.672000000000004</v>
      </c>
      <c r="AD23">
        <f t="shared" si="7"/>
        <v>479.22800000000012</v>
      </c>
      <c r="AE23" s="1">
        <f t="shared" si="8"/>
        <v>520.90000000000009</v>
      </c>
    </row>
    <row r="24" spans="1:31" x14ac:dyDescent="0.25">
      <c r="A24" t="s">
        <v>52</v>
      </c>
      <c r="B24" t="str">
        <f t="shared" si="0"/>
        <v xml:space="preserve">Mark Henderson </v>
      </c>
      <c r="C24" t="s">
        <v>51</v>
      </c>
      <c r="D24" t="s">
        <v>50</v>
      </c>
      <c r="E24">
        <v>33</v>
      </c>
      <c r="F24" t="str">
        <f t="shared" si="1"/>
        <v>26-35</v>
      </c>
      <c r="G24" t="s">
        <v>8</v>
      </c>
      <c r="H24" t="s">
        <v>18</v>
      </c>
      <c r="I24" t="s">
        <v>49</v>
      </c>
      <c r="J24" t="str">
        <f t="shared" si="2"/>
        <v>yahoo.com</v>
      </c>
      <c r="K24" t="s">
        <v>48</v>
      </c>
      <c r="L24" t="s">
        <v>1958</v>
      </c>
      <c r="M24" s="2">
        <v>45125</v>
      </c>
      <c r="N24" t="s">
        <v>1957</v>
      </c>
      <c r="O24" t="s">
        <v>220</v>
      </c>
      <c r="P24">
        <v>461.07</v>
      </c>
      <c r="Q24">
        <v>1</v>
      </c>
      <c r="R24" t="s">
        <v>34</v>
      </c>
      <c r="S24" s="5">
        <v>8</v>
      </c>
      <c r="T24" s="3">
        <v>1</v>
      </c>
      <c r="U24" s="4" t="str">
        <f t="shared" si="3"/>
        <v>On_time</v>
      </c>
      <c r="V24">
        <v>56</v>
      </c>
      <c r="W24" s="3">
        <f t="shared" si="4"/>
        <v>1</v>
      </c>
      <c r="X24" s="2">
        <v>45126</v>
      </c>
      <c r="Y24" s="1">
        <f>YEAR(Table2[[#This Row],[Delivery_Date]])</f>
        <v>2023</v>
      </c>
      <c r="Z24" s="2" t="str">
        <f t="shared" si="5"/>
        <v>Jul</v>
      </c>
      <c r="AA24" t="s">
        <v>1956</v>
      </c>
      <c r="AB24">
        <f t="shared" si="6"/>
        <v>480.18440000000004</v>
      </c>
      <c r="AC24">
        <f>Table2[[#This Row],[Price]]*Table2[[#This Row],[Quantity]]*Table2[[#This Row],[COUPON %]]/100</f>
        <v>36.885599999999997</v>
      </c>
      <c r="AD24">
        <f t="shared" si="7"/>
        <v>424.18440000000004</v>
      </c>
      <c r="AE24" s="1">
        <f t="shared" si="8"/>
        <v>461.07</v>
      </c>
    </row>
    <row r="25" spans="1:31" x14ac:dyDescent="0.25">
      <c r="A25" t="s">
        <v>1164</v>
      </c>
      <c r="B25" t="str">
        <f t="shared" si="0"/>
        <v xml:space="preserve">John Herrera </v>
      </c>
      <c r="C25" t="s">
        <v>1163</v>
      </c>
      <c r="D25" t="s">
        <v>1162</v>
      </c>
      <c r="E25">
        <v>64</v>
      </c>
      <c r="F25" t="str">
        <f t="shared" si="1"/>
        <v>&gt;45</v>
      </c>
      <c r="G25" t="s">
        <v>29</v>
      </c>
      <c r="H25" t="s">
        <v>7</v>
      </c>
      <c r="I25" t="s">
        <v>1161</v>
      </c>
      <c r="J25" t="str">
        <f t="shared" si="2"/>
        <v>outlook.com</v>
      </c>
      <c r="K25" t="s">
        <v>1160</v>
      </c>
      <c r="L25" t="s">
        <v>1955</v>
      </c>
      <c r="M25" s="2">
        <v>45194</v>
      </c>
      <c r="N25" t="s">
        <v>1954</v>
      </c>
      <c r="O25" t="s">
        <v>224</v>
      </c>
      <c r="P25">
        <v>132.97</v>
      </c>
      <c r="Q25">
        <v>1</v>
      </c>
      <c r="R25" t="s">
        <v>93</v>
      </c>
      <c r="S25" s="5">
        <v>15</v>
      </c>
      <c r="T25" s="3">
        <v>4</v>
      </c>
      <c r="U25" s="4" t="str">
        <f t="shared" si="3"/>
        <v>On_time</v>
      </c>
      <c r="V25">
        <v>55</v>
      </c>
      <c r="W25" s="3">
        <f t="shared" si="4"/>
        <v>4</v>
      </c>
      <c r="X25" s="2">
        <v>45198</v>
      </c>
      <c r="Y25" s="1">
        <f>YEAR(Table2[[#This Row],[Delivery_Date]])</f>
        <v>2023</v>
      </c>
      <c r="Z25" s="2" t="str">
        <f t="shared" si="5"/>
        <v>Sep</v>
      </c>
      <c r="AA25" t="s">
        <v>1953</v>
      </c>
      <c r="AB25">
        <f t="shared" si="6"/>
        <v>168.02449999999999</v>
      </c>
      <c r="AC25">
        <f>Table2[[#This Row],[Price]]*Table2[[#This Row],[Quantity]]*Table2[[#This Row],[COUPON %]]/100</f>
        <v>19.945499999999999</v>
      </c>
      <c r="AD25">
        <f t="shared" si="7"/>
        <v>113.02449999999999</v>
      </c>
      <c r="AE25" s="1">
        <f t="shared" si="8"/>
        <v>132.97</v>
      </c>
    </row>
    <row r="26" spans="1:31" x14ac:dyDescent="0.25">
      <c r="A26" t="s">
        <v>11</v>
      </c>
      <c r="B26" t="str">
        <f t="shared" si="0"/>
        <v xml:space="preserve">Angela Evans </v>
      </c>
      <c r="C26" t="s">
        <v>10</v>
      </c>
      <c r="D26" t="s">
        <v>9</v>
      </c>
      <c r="E26">
        <v>52</v>
      </c>
      <c r="F26" t="str">
        <f t="shared" si="1"/>
        <v>&gt;45</v>
      </c>
      <c r="G26" t="s">
        <v>8</v>
      </c>
      <c r="H26" t="s">
        <v>7</v>
      </c>
      <c r="I26" t="s">
        <v>6</v>
      </c>
      <c r="J26" t="str">
        <f t="shared" si="2"/>
        <v>outlook.com</v>
      </c>
      <c r="K26" t="s">
        <v>5</v>
      </c>
      <c r="L26" t="s">
        <v>1952</v>
      </c>
      <c r="M26" s="2">
        <v>45146</v>
      </c>
      <c r="N26" t="s">
        <v>1951</v>
      </c>
      <c r="O26" t="s">
        <v>582</v>
      </c>
      <c r="P26">
        <v>126.19</v>
      </c>
      <c r="Q26">
        <v>2</v>
      </c>
      <c r="R26" t="s">
        <v>1</v>
      </c>
      <c r="S26" s="5">
        <v>0</v>
      </c>
      <c r="T26" s="3">
        <v>3</v>
      </c>
      <c r="U26" s="4" t="str">
        <f t="shared" si="3"/>
        <v>Late_Delivery</v>
      </c>
      <c r="V26">
        <v>63</v>
      </c>
      <c r="W26" s="3">
        <f t="shared" si="4"/>
        <v>4</v>
      </c>
      <c r="X26" s="2">
        <v>45150</v>
      </c>
      <c r="Y26" s="1">
        <f>YEAR(Table2[[#This Row],[Delivery_Date]])</f>
        <v>2023</v>
      </c>
      <c r="Z26" s="2" t="str">
        <f t="shared" si="5"/>
        <v>Aug</v>
      </c>
      <c r="AA26" t="s">
        <v>1950</v>
      </c>
      <c r="AB26">
        <f t="shared" si="6"/>
        <v>315.38</v>
      </c>
      <c r="AC26">
        <f>Table2[[#This Row],[Price]]*Table2[[#This Row],[Quantity]]*Table2[[#This Row],[COUPON %]]/100</f>
        <v>0</v>
      </c>
      <c r="AD26">
        <f t="shared" si="7"/>
        <v>252.38</v>
      </c>
      <c r="AE26" s="1">
        <f t="shared" si="8"/>
        <v>252.38</v>
      </c>
    </row>
    <row r="27" spans="1:31" x14ac:dyDescent="0.25">
      <c r="A27" t="s">
        <v>11</v>
      </c>
      <c r="B27" t="str">
        <f t="shared" si="0"/>
        <v xml:space="preserve">Angela Evans </v>
      </c>
      <c r="C27" t="s">
        <v>10</v>
      </c>
      <c r="D27" t="s">
        <v>9</v>
      </c>
      <c r="E27">
        <v>52</v>
      </c>
      <c r="F27" t="str">
        <f t="shared" si="1"/>
        <v>&gt;45</v>
      </c>
      <c r="G27" t="s">
        <v>8</v>
      </c>
      <c r="H27" t="s">
        <v>7</v>
      </c>
      <c r="I27" t="s">
        <v>6</v>
      </c>
      <c r="J27" t="str">
        <f t="shared" si="2"/>
        <v>outlook.com</v>
      </c>
      <c r="K27" t="s">
        <v>5</v>
      </c>
      <c r="L27" t="s">
        <v>1949</v>
      </c>
      <c r="M27" s="2">
        <v>45138</v>
      </c>
      <c r="N27" t="s">
        <v>1948</v>
      </c>
      <c r="O27" t="s">
        <v>615</v>
      </c>
      <c r="P27">
        <v>282.63</v>
      </c>
      <c r="Q27">
        <v>3</v>
      </c>
      <c r="R27" t="s">
        <v>1</v>
      </c>
      <c r="S27" s="5">
        <v>0</v>
      </c>
      <c r="T27" s="3">
        <v>2</v>
      </c>
      <c r="U27" s="4" t="str">
        <f t="shared" si="3"/>
        <v>Late_Delivery</v>
      </c>
      <c r="V27">
        <v>40</v>
      </c>
      <c r="W27" s="3">
        <f t="shared" si="4"/>
        <v>4</v>
      </c>
      <c r="X27" s="2">
        <v>45142</v>
      </c>
      <c r="Y27" s="1">
        <f>YEAR(Table2[[#This Row],[Delivery_Date]])</f>
        <v>2023</v>
      </c>
      <c r="Z27" s="2" t="str">
        <f t="shared" si="5"/>
        <v>Aug</v>
      </c>
      <c r="AA27" t="s">
        <v>1947</v>
      </c>
      <c r="AB27">
        <f t="shared" si="6"/>
        <v>887.89</v>
      </c>
      <c r="AC27">
        <f>Table2[[#This Row],[Price]]*Table2[[#This Row],[Quantity]]*Table2[[#This Row],[COUPON %]]/100</f>
        <v>0</v>
      </c>
      <c r="AD27">
        <f t="shared" si="7"/>
        <v>847.89</v>
      </c>
      <c r="AE27" s="1">
        <f t="shared" si="8"/>
        <v>847.89</v>
      </c>
    </row>
    <row r="28" spans="1:31" x14ac:dyDescent="0.25">
      <c r="A28" t="s">
        <v>1527</v>
      </c>
      <c r="B28" t="str">
        <f t="shared" si="0"/>
        <v xml:space="preserve">Bobby Forbes </v>
      </c>
      <c r="C28" t="s">
        <v>1526</v>
      </c>
      <c r="D28" t="s">
        <v>1525</v>
      </c>
      <c r="E28">
        <v>20</v>
      </c>
      <c r="F28" t="str">
        <f t="shared" si="1"/>
        <v>0-25</v>
      </c>
      <c r="G28" t="s">
        <v>108</v>
      </c>
      <c r="H28" t="s">
        <v>118</v>
      </c>
      <c r="I28" t="s">
        <v>1524</v>
      </c>
      <c r="J28" t="str">
        <f t="shared" si="2"/>
        <v>gmail.com</v>
      </c>
      <c r="K28" t="s">
        <v>1523</v>
      </c>
      <c r="L28" t="s">
        <v>1946</v>
      </c>
      <c r="M28" s="2">
        <v>45066</v>
      </c>
      <c r="N28" t="s">
        <v>1945</v>
      </c>
      <c r="O28" t="s">
        <v>35</v>
      </c>
      <c r="P28">
        <v>128.13999999999999</v>
      </c>
      <c r="Q28">
        <v>3</v>
      </c>
      <c r="R28" t="s">
        <v>34</v>
      </c>
      <c r="S28" s="5">
        <v>8</v>
      </c>
      <c r="T28" s="3">
        <v>4</v>
      </c>
      <c r="U28" s="4" t="str">
        <f t="shared" si="3"/>
        <v>Before_time</v>
      </c>
      <c r="V28">
        <v>70</v>
      </c>
      <c r="W28" s="3">
        <f t="shared" si="4"/>
        <v>3</v>
      </c>
      <c r="X28" s="2">
        <v>45069</v>
      </c>
      <c r="Y28" s="1">
        <f>YEAR(Table2[[#This Row],[Delivery_Date]])</f>
        <v>2023</v>
      </c>
      <c r="Z28" s="2" t="str">
        <f t="shared" si="5"/>
        <v>May</v>
      </c>
      <c r="AA28" t="s">
        <v>1944</v>
      </c>
      <c r="AB28">
        <f t="shared" si="6"/>
        <v>423.66639999999995</v>
      </c>
      <c r="AC28">
        <f>Table2[[#This Row],[Price]]*Table2[[#This Row],[Quantity]]*Table2[[#This Row],[COUPON %]]/100</f>
        <v>30.753599999999995</v>
      </c>
      <c r="AD28">
        <f t="shared" si="7"/>
        <v>353.66639999999995</v>
      </c>
      <c r="AE28" s="1">
        <f t="shared" si="8"/>
        <v>384.41999999999996</v>
      </c>
    </row>
    <row r="29" spans="1:31" x14ac:dyDescent="0.25">
      <c r="A29" t="s">
        <v>1527</v>
      </c>
      <c r="B29" t="str">
        <f t="shared" si="0"/>
        <v xml:space="preserve">Bobby Forbes </v>
      </c>
      <c r="C29" t="s">
        <v>1526</v>
      </c>
      <c r="D29" t="s">
        <v>1525</v>
      </c>
      <c r="E29">
        <v>20</v>
      </c>
      <c r="F29" t="str">
        <f t="shared" si="1"/>
        <v>0-25</v>
      </c>
      <c r="G29" t="s">
        <v>108</v>
      </c>
      <c r="H29" t="s">
        <v>118</v>
      </c>
      <c r="I29" t="s">
        <v>1524</v>
      </c>
      <c r="J29" t="str">
        <f t="shared" si="2"/>
        <v>gmail.com</v>
      </c>
      <c r="K29" t="s">
        <v>1523</v>
      </c>
      <c r="L29" t="s">
        <v>1943</v>
      </c>
      <c r="M29" s="2">
        <v>45185</v>
      </c>
      <c r="N29" t="s">
        <v>1942</v>
      </c>
      <c r="O29" t="s">
        <v>457</v>
      </c>
      <c r="P29">
        <v>363.64</v>
      </c>
      <c r="Q29">
        <v>3</v>
      </c>
      <c r="R29" t="s">
        <v>64</v>
      </c>
      <c r="S29" s="5">
        <v>20</v>
      </c>
      <c r="T29" s="3">
        <v>5</v>
      </c>
      <c r="U29" s="4" t="str">
        <f t="shared" si="3"/>
        <v>Before_time</v>
      </c>
      <c r="V29">
        <v>39</v>
      </c>
      <c r="W29" s="3">
        <f t="shared" si="4"/>
        <v>4</v>
      </c>
      <c r="X29" s="2">
        <v>45189</v>
      </c>
      <c r="Y29" s="1">
        <f>YEAR(Table2[[#This Row],[Delivery_Date]])</f>
        <v>2023</v>
      </c>
      <c r="Z29" s="2" t="str">
        <f t="shared" si="5"/>
        <v>Sep</v>
      </c>
      <c r="AA29" t="s">
        <v>1941</v>
      </c>
      <c r="AB29">
        <f t="shared" si="6"/>
        <v>911.7360000000001</v>
      </c>
      <c r="AC29">
        <f>Table2[[#This Row],[Price]]*Table2[[#This Row],[Quantity]]*Table2[[#This Row],[COUPON %]]/100</f>
        <v>218.18400000000003</v>
      </c>
      <c r="AD29">
        <f t="shared" si="7"/>
        <v>872.7360000000001</v>
      </c>
      <c r="AE29" s="1">
        <f t="shared" si="8"/>
        <v>1090.92</v>
      </c>
    </row>
    <row r="30" spans="1:31" x14ac:dyDescent="0.25">
      <c r="A30" t="s">
        <v>937</v>
      </c>
      <c r="B30" t="str">
        <f t="shared" si="0"/>
        <v xml:space="preserve">Ashley Rose </v>
      </c>
      <c r="C30" t="s">
        <v>110</v>
      </c>
      <c r="D30" t="s">
        <v>936</v>
      </c>
      <c r="E30">
        <v>60</v>
      </c>
      <c r="F30" t="str">
        <f t="shared" si="1"/>
        <v>&gt;45</v>
      </c>
      <c r="G30" t="s">
        <v>8</v>
      </c>
      <c r="H30" t="s">
        <v>107</v>
      </c>
      <c r="I30" t="s">
        <v>935</v>
      </c>
      <c r="J30" t="str">
        <f t="shared" si="2"/>
        <v>gmail.com</v>
      </c>
      <c r="K30" t="s">
        <v>934</v>
      </c>
      <c r="L30" t="s">
        <v>1940</v>
      </c>
      <c r="M30" s="2">
        <v>44987</v>
      </c>
      <c r="N30" t="s">
        <v>1939</v>
      </c>
      <c r="O30" t="s">
        <v>457</v>
      </c>
      <c r="P30">
        <v>363.64</v>
      </c>
      <c r="Q30">
        <v>2</v>
      </c>
      <c r="R30" t="s">
        <v>93</v>
      </c>
      <c r="S30" s="5">
        <v>15</v>
      </c>
      <c r="T30" s="3">
        <v>1</v>
      </c>
      <c r="U30" s="4" t="str">
        <f t="shared" si="3"/>
        <v>On_time</v>
      </c>
      <c r="V30">
        <v>43</v>
      </c>
      <c r="W30" s="3">
        <f t="shared" si="4"/>
        <v>1</v>
      </c>
      <c r="X30" s="2">
        <v>44988</v>
      </c>
      <c r="Y30" s="1">
        <f>YEAR(Table2[[#This Row],[Delivery_Date]])</f>
        <v>2023</v>
      </c>
      <c r="Z30" s="2" t="str">
        <f t="shared" si="5"/>
        <v>Mar</v>
      </c>
      <c r="AA30" t="s">
        <v>1938</v>
      </c>
      <c r="AB30">
        <f t="shared" si="6"/>
        <v>661.18799999999999</v>
      </c>
      <c r="AC30">
        <f>Table2[[#This Row],[Price]]*Table2[[#This Row],[Quantity]]*Table2[[#This Row],[COUPON %]]/100</f>
        <v>109.09199999999998</v>
      </c>
      <c r="AD30">
        <f t="shared" si="7"/>
        <v>618.18799999999999</v>
      </c>
      <c r="AE30" s="1">
        <f t="shared" si="8"/>
        <v>727.28</v>
      </c>
    </row>
    <row r="31" spans="1:31" x14ac:dyDescent="0.25">
      <c r="A31" t="s">
        <v>1334</v>
      </c>
      <c r="B31" t="str">
        <f t="shared" si="0"/>
        <v xml:space="preserve">Taylor Davis </v>
      </c>
      <c r="C31" t="s">
        <v>1333</v>
      </c>
      <c r="D31" t="s">
        <v>1332</v>
      </c>
      <c r="E31">
        <v>54</v>
      </c>
      <c r="F31" t="str">
        <f t="shared" si="1"/>
        <v>&gt;45</v>
      </c>
      <c r="G31" t="s">
        <v>29</v>
      </c>
      <c r="H31" t="s">
        <v>107</v>
      </c>
      <c r="I31" t="s">
        <v>1331</v>
      </c>
      <c r="J31" t="str">
        <f t="shared" si="2"/>
        <v>yahoo.com</v>
      </c>
      <c r="K31" t="s">
        <v>1330</v>
      </c>
      <c r="L31" t="s">
        <v>1937</v>
      </c>
      <c r="M31" s="2">
        <v>45224</v>
      </c>
      <c r="N31" t="s">
        <v>1936</v>
      </c>
      <c r="O31" t="s">
        <v>84</v>
      </c>
      <c r="P31">
        <v>62.42</v>
      </c>
      <c r="Q31">
        <v>1</v>
      </c>
      <c r="R31" t="s">
        <v>1</v>
      </c>
      <c r="S31" s="5">
        <v>0</v>
      </c>
      <c r="T31" s="3">
        <v>3</v>
      </c>
      <c r="U31" s="4" t="str">
        <f t="shared" si="3"/>
        <v>Late_Delivery</v>
      </c>
      <c r="V31">
        <v>58</v>
      </c>
      <c r="W31" s="3">
        <f t="shared" si="4"/>
        <v>5</v>
      </c>
      <c r="X31" s="2">
        <v>45229</v>
      </c>
      <c r="Y31" s="1">
        <f>YEAR(Table2[[#This Row],[Delivery_Date]])</f>
        <v>2023</v>
      </c>
      <c r="Z31" s="2" t="str">
        <f t="shared" si="5"/>
        <v>Oct</v>
      </c>
      <c r="AA31" t="s">
        <v>1935</v>
      </c>
      <c r="AB31">
        <f t="shared" si="6"/>
        <v>120.42</v>
      </c>
      <c r="AC31">
        <f>Table2[[#This Row],[Price]]*Table2[[#This Row],[Quantity]]*Table2[[#This Row],[COUPON %]]/100</f>
        <v>0</v>
      </c>
      <c r="AD31">
        <f t="shared" si="7"/>
        <v>62.42</v>
      </c>
      <c r="AE31" s="1">
        <f t="shared" si="8"/>
        <v>62.42</v>
      </c>
    </row>
    <row r="32" spans="1:31" x14ac:dyDescent="0.25">
      <c r="A32" t="s">
        <v>1187</v>
      </c>
      <c r="B32" t="str">
        <f t="shared" si="0"/>
        <v xml:space="preserve">Lauren Long </v>
      </c>
      <c r="C32" t="s">
        <v>254</v>
      </c>
      <c r="D32" t="s">
        <v>1186</v>
      </c>
      <c r="E32">
        <v>44</v>
      </c>
      <c r="F32" t="str">
        <f t="shared" si="1"/>
        <v>36-45</v>
      </c>
      <c r="G32" t="s">
        <v>108</v>
      </c>
      <c r="H32" t="s">
        <v>18</v>
      </c>
      <c r="I32" t="s">
        <v>1185</v>
      </c>
      <c r="J32" t="str">
        <f t="shared" si="2"/>
        <v>gmail.com</v>
      </c>
      <c r="K32" t="s">
        <v>1184</v>
      </c>
      <c r="L32" t="s">
        <v>1934</v>
      </c>
      <c r="M32" s="2">
        <v>45389</v>
      </c>
      <c r="N32" t="s">
        <v>1933</v>
      </c>
      <c r="O32" t="s">
        <v>224</v>
      </c>
      <c r="P32">
        <v>132.97</v>
      </c>
      <c r="Q32">
        <v>1</v>
      </c>
      <c r="R32" t="s">
        <v>1</v>
      </c>
      <c r="S32" s="5">
        <v>0</v>
      </c>
      <c r="T32" s="3">
        <v>6</v>
      </c>
      <c r="U32" s="4" t="str">
        <f t="shared" si="3"/>
        <v>Late_Delivery</v>
      </c>
      <c r="V32">
        <v>57</v>
      </c>
      <c r="W32" s="3">
        <f t="shared" si="4"/>
        <v>7</v>
      </c>
      <c r="X32" s="2">
        <v>45396</v>
      </c>
      <c r="Y32" s="1">
        <f>YEAR(Table2[[#This Row],[Delivery_Date]])</f>
        <v>2024</v>
      </c>
      <c r="Z32" s="2" t="str">
        <f t="shared" si="5"/>
        <v>Apr</v>
      </c>
      <c r="AA32" t="s">
        <v>1932</v>
      </c>
      <c r="AB32">
        <f t="shared" si="6"/>
        <v>189.97</v>
      </c>
      <c r="AC32">
        <f>Table2[[#This Row],[Price]]*Table2[[#This Row],[Quantity]]*Table2[[#This Row],[COUPON %]]/100</f>
        <v>0</v>
      </c>
      <c r="AD32">
        <f t="shared" si="7"/>
        <v>132.97</v>
      </c>
      <c r="AE32" s="1">
        <f t="shared" si="8"/>
        <v>132.97</v>
      </c>
    </row>
    <row r="33" spans="1:31" x14ac:dyDescent="0.25">
      <c r="A33" t="s">
        <v>1559</v>
      </c>
      <c r="B33" t="str">
        <f t="shared" si="0"/>
        <v xml:space="preserve">Teresa Harvey </v>
      </c>
      <c r="C33" t="s">
        <v>1558</v>
      </c>
      <c r="D33" t="s">
        <v>1557</v>
      </c>
      <c r="E33">
        <v>64</v>
      </c>
      <c r="F33" t="str">
        <f t="shared" si="1"/>
        <v>&gt;45</v>
      </c>
      <c r="G33" t="s">
        <v>8</v>
      </c>
      <c r="H33" t="s">
        <v>107</v>
      </c>
      <c r="I33" t="s">
        <v>1556</v>
      </c>
      <c r="J33" t="str">
        <f t="shared" si="2"/>
        <v>gmail.com</v>
      </c>
      <c r="K33" t="s">
        <v>1555</v>
      </c>
      <c r="L33" t="s">
        <v>1931</v>
      </c>
      <c r="M33" s="2">
        <v>45039</v>
      </c>
      <c r="N33" t="s">
        <v>1930</v>
      </c>
      <c r="O33" t="s">
        <v>347</v>
      </c>
      <c r="P33">
        <v>157.63999999999999</v>
      </c>
      <c r="Q33">
        <v>4</v>
      </c>
      <c r="R33" t="s">
        <v>64</v>
      </c>
      <c r="S33" s="5">
        <v>20</v>
      </c>
      <c r="T33" s="3">
        <v>7</v>
      </c>
      <c r="U33" s="4" t="str">
        <f t="shared" si="3"/>
        <v>On_time</v>
      </c>
      <c r="V33">
        <v>59</v>
      </c>
      <c r="W33" s="3">
        <f t="shared" si="4"/>
        <v>7</v>
      </c>
      <c r="X33" s="2">
        <v>45046</v>
      </c>
      <c r="Y33" s="1">
        <f>YEAR(Table2[[#This Row],[Delivery_Date]])</f>
        <v>2023</v>
      </c>
      <c r="Z33" s="2" t="str">
        <f t="shared" si="5"/>
        <v>Apr</v>
      </c>
      <c r="AA33" t="s">
        <v>1929</v>
      </c>
      <c r="AB33">
        <f t="shared" si="6"/>
        <v>563.44799999999998</v>
      </c>
      <c r="AC33">
        <f>Table2[[#This Row],[Price]]*Table2[[#This Row],[Quantity]]*Table2[[#This Row],[COUPON %]]/100</f>
        <v>126.11199999999999</v>
      </c>
      <c r="AD33">
        <f t="shared" si="7"/>
        <v>504.44799999999998</v>
      </c>
      <c r="AE33" s="1">
        <f t="shared" si="8"/>
        <v>630.55999999999995</v>
      </c>
    </row>
    <row r="34" spans="1:31" x14ac:dyDescent="0.25">
      <c r="A34" t="s">
        <v>1187</v>
      </c>
      <c r="B34" t="str">
        <f t="shared" si="0"/>
        <v xml:space="preserve">Lauren Long </v>
      </c>
      <c r="C34" t="s">
        <v>254</v>
      </c>
      <c r="D34" t="s">
        <v>1186</v>
      </c>
      <c r="E34">
        <v>44</v>
      </c>
      <c r="F34" t="str">
        <f t="shared" si="1"/>
        <v>36-45</v>
      </c>
      <c r="G34" t="s">
        <v>108</v>
      </c>
      <c r="H34" t="s">
        <v>18</v>
      </c>
      <c r="I34" t="s">
        <v>1185</v>
      </c>
      <c r="J34" t="str">
        <f t="shared" si="2"/>
        <v>gmail.com</v>
      </c>
      <c r="K34" t="s">
        <v>1184</v>
      </c>
      <c r="L34" t="s">
        <v>1928</v>
      </c>
      <c r="M34" s="2">
        <v>45548</v>
      </c>
      <c r="N34" t="s">
        <v>1927</v>
      </c>
      <c r="O34" t="s">
        <v>190</v>
      </c>
      <c r="P34">
        <v>158.53</v>
      </c>
      <c r="Q34">
        <v>5</v>
      </c>
      <c r="R34" t="s">
        <v>64</v>
      </c>
      <c r="S34" s="5">
        <v>20</v>
      </c>
      <c r="T34" s="3">
        <v>3</v>
      </c>
      <c r="U34" s="4" t="str">
        <f t="shared" si="3"/>
        <v>Late_Delivery</v>
      </c>
      <c r="V34">
        <v>42</v>
      </c>
      <c r="W34" s="3">
        <f t="shared" si="4"/>
        <v>5</v>
      </c>
      <c r="X34" s="2">
        <v>45553</v>
      </c>
      <c r="Y34" s="1">
        <f>YEAR(Table2[[#This Row],[Delivery_Date]])</f>
        <v>2024</v>
      </c>
      <c r="Z34" s="2" t="str">
        <f t="shared" si="5"/>
        <v>Sep</v>
      </c>
      <c r="AA34" t="s">
        <v>1926</v>
      </c>
      <c r="AB34">
        <f t="shared" si="6"/>
        <v>676.12</v>
      </c>
      <c r="AC34">
        <f>Table2[[#This Row],[Price]]*Table2[[#This Row],[Quantity]]*Table2[[#This Row],[COUPON %]]/100</f>
        <v>158.53</v>
      </c>
      <c r="AD34">
        <f t="shared" si="7"/>
        <v>634.12</v>
      </c>
      <c r="AE34" s="1">
        <f t="shared" si="8"/>
        <v>792.65</v>
      </c>
    </row>
    <row r="35" spans="1:31" x14ac:dyDescent="0.25">
      <c r="A35" t="s">
        <v>243</v>
      </c>
      <c r="B35" t="str">
        <f t="shared" si="0"/>
        <v xml:space="preserve">Heather Schneider </v>
      </c>
      <c r="C35" t="s">
        <v>242</v>
      </c>
      <c r="D35" t="s">
        <v>241</v>
      </c>
      <c r="E35">
        <v>48</v>
      </c>
      <c r="F35" t="str">
        <f t="shared" si="1"/>
        <v>&gt;45</v>
      </c>
      <c r="G35" t="s">
        <v>29</v>
      </c>
      <c r="H35" t="s">
        <v>118</v>
      </c>
      <c r="I35" t="s">
        <v>240</v>
      </c>
      <c r="J35" t="str">
        <f t="shared" si="2"/>
        <v>outlook.com</v>
      </c>
      <c r="K35" t="s">
        <v>239</v>
      </c>
      <c r="L35" t="s">
        <v>1925</v>
      </c>
      <c r="M35" s="2">
        <v>45407</v>
      </c>
      <c r="N35" t="s">
        <v>1924</v>
      </c>
      <c r="O35" t="s">
        <v>84</v>
      </c>
      <c r="P35">
        <v>62.42</v>
      </c>
      <c r="Q35">
        <v>3</v>
      </c>
      <c r="R35" t="s">
        <v>34</v>
      </c>
      <c r="S35" s="5">
        <v>8</v>
      </c>
      <c r="T35" s="3">
        <v>4</v>
      </c>
      <c r="U35" s="4" t="str">
        <f t="shared" si="3"/>
        <v>Late_Delivery</v>
      </c>
      <c r="V35">
        <v>36</v>
      </c>
      <c r="W35" s="3">
        <f t="shared" si="4"/>
        <v>7</v>
      </c>
      <c r="X35" s="2">
        <v>45414</v>
      </c>
      <c r="Y35" s="1">
        <f>YEAR(Table2[[#This Row],[Delivery_Date]])</f>
        <v>2024</v>
      </c>
      <c r="Z35" s="2" t="str">
        <f t="shared" si="5"/>
        <v>May</v>
      </c>
      <c r="AA35" t="s">
        <v>1923</v>
      </c>
      <c r="AB35">
        <f t="shared" si="6"/>
        <v>208.2792</v>
      </c>
      <c r="AC35">
        <f>Table2[[#This Row],[Price]]*Table2[[#This Row],[Quantity]]*Table2[[#This Row],[COUPON %]]/100</f>
        <v>14.980799999999999</v>
      </c>
      <c r="AD35">
        <f t="shared" si="7"/>
        <v>172.2792</v>
      </c>
      <c r="AE35" s="1">
        <f t="shared" si="8"/>
        <v>187.26</v>
      </c>
    </row>
    <row r="36" spans="1:31" x14ac:dyDescent="0.25">
      <c r="A36" t="s">
        <v>1195</v>
      </c>
      <c r="B36" t="str">
        <f t="shared" si="0"/>
        <v xml:space="preserve">Valerie Carr </v>
      </c>
      <c r="C36" t="s">
        <v>1194</v>
      </c>
      <c r="D36" t="s">
        <v>1193</v>
      </c>
      <c r="E36">
        <v>26</v>
      </c>
      <c r="F36" t="str">
        <f t="shared" si="1"/>
        <v>26-35</v>
      </c>
      <c r="G36" t="s">
        <v>8</v>
      </c>
      <c r="H36" t="s">
        <v>79</v>
      </c>
      <c r="I36" t="s">
        <v>1192</v>
      </c>
      <c r="J36" t="str">
        <f t="shared" si="2"/>
        <v>rediffmail.com</v>
      </c>
      <c r="K36" t="s">
        <v>1191</v>
      </c>
      <c r="L36" t="s">
        <v>1922</v>
      </c>
      <c r="M36" s="2">
        <v>45168</v>
      </c>
      <c r="N36" t="s">
        <v>1921</v>
      </c>
      <c r="O36" t="s">
        <v>74</v>
      </c>
      <c r="P36">
        <v>129.75</v>
      </c>
      <c r="Q36">
        <v>1</v>
      </c>
      <c r="R36" t="s">
        <v>166</v>
      </c>
      <c r="S36" s="5">
        <v>10</v>
      </c>
      <c r="T36" s="3">
        <v>5</v>
      </c>
      <c r="U36" s="4" t="str">
        <f t="shared" si="3"/>
        <v>Before_time</v>
      </c>
      <c r="V36">
        <v>70</v>
      </c>
      <c r="W36" s="3">
        <f t="shared" si="4"/>
        <v>4</v>
      </c>
      <c r="X36" s="2">
        <v>45172</v>
      </c>
      <c r="Y36" s="1">
        <f>YEAR(Table2[[#This Row],[Delivery_Date]])</f>
        <v>2023</v>
      </c>
      <c r="Z36" s="2" t="str">
        <f t="shared" si="5"/>
        <v>Sep</v>
      </c>
      <c r="AA36" t="s">
        <v>1920</v>
      </c>
      <c r="AB36">
        <f t="shared" si="6"/>
        <v>186.77500000000001</v>
      </c>
      <c r="AC36">
        <f>Table2[[#This Row],[Price]]*Table2[[#This Row],[Quantity]]*Table2[[#This Row],[COUPON %]]/100</f>
        <v>12.975</v>
      </c>
      <c r="AD36">
        <f t="shared" si="7"/>
        <v>116.77500000000001</v>
      </c>
      <c r="AE36" s="1">
        <f t="shared" si="8"/>
        <v>129.75</v>
      </c>
    </row>
    <row r="37" spans="1:31" x14ac:dyDescent="0.25">
      <c r="A37" t="s">
        <v>11</v>
      </c>
      <c r="B37" t="str">
        <f t="shared" si="0"/>
        <v xml:space="preserve">Angela Evans </v>
      </c>
      <c r="C37" t="s">
        <v>10</v>
      </c>
      <c r="D37" t="s">
        <v>9</v>
      </c>
      <c r="E37">
        <v>52</v>
      </c>
      <c r="F37" t="str">
        <f t="shared" si="1"/>
        <v>&gt;45</v>
      </c>
      <c r="G37" t="s">
        <v>8</v>
      </c>
      <c r="H37" t="s">
        <v>7</v>
      </c>
      <c r="I37" t="s">
        <v>6</v>
      </c>
      <c r="J37" t="str">
        <f t="shared" si="2"/>
        <v>outlook.com</v>
      </c>
      <c r="K37" t="s">
        <v>5</v>
      </c>
      <c r="L37" t="s">
        <v>1919</v>
      </c>
      <c r="M37" s="2">
        <v>45244</v>
      </c>
      <c r="N37" t="s">
        <v>1918</v>
      </c>
      <c r="O37" t="s">
        <v>347</v>
      </c>
      <c r="P37">
        <v>157.63999999999999</v>
      </c>
      <c r="Q37">
        <v>5</v>
      </c>
      <c r="R37" t="s">
        <v>34</v>
      </c>
      <c r="S37" s="5">
        <v>8</v>
      </c>
      <c r="T37" s="3">
        <v>4</v>
      </c>
      <c r="U37" s="4" t="str">
        <f t="shared" si="3"/>
        <v>Before_time</v>
      </c>
      <c r="V37">
        <v>53</v>
      </c>
      <c r="W37" s="3">
        <f t="shared" si="4"/>
        <v>2</v>
      </c>
      <c r="X37" s="2">
        <v>45246</v>
      </c>
      <c r="Y37" s="1">
        <f>YEAR(Table2[[#This Row],[Delivery_Date]])</f>
        <v>2023</v>
      </c>
      <c r="Z37" s="2" t="str">
        <f t="shared" si="5"/>
        <v>Nov</v>
      </c>
      <c r="AA37" t="s">
        <v>1917</v>
      </c>
      <c r="AB37">
        <f t="shared" si="6"/>
        <v>778.14400000000001</v>
      </c>
      <c r="AC37">
        <f>Table2[[#This Row],[Price]]*Table2[[#This Row],[Quantity]]*Table2[[#This Row],[COUPON %]]/100</f>
        <v>63.055999999999997</v>
      </c>
      <c r="AD37">
        <f t="shared" si="7"/>
        <v>725.14400000000001</v>
      </c>
      <c r="AE37" s="1">
        <f t="shared" si="8"/>
        <v>788.19999999999993</v>
      </c>
    </row>
    <row r="38" spans="1:31" x14ac:dyDescent="0.25">
      <c r="A38" t="s">
        <v>262</v>
      </c>
      <c r="B38" t="str">
        <f t="shared" si="0"/>
        <v xml:space="preserve">Angela Horne </v>
      </c>
      <c r="C38" t="s">
        <v>10</v>
      </c>
      <c r="D38" t="s">
        <v>261</v>
      </c>
      <c r="E38">
        <v>49</v>
      </c>
      <c r="F38" t="str">
        <f t="shared" si="1"/>
        <v>&gt;45</v>
      </c>
      <c r="G38" t="s">
        <v>8</v>
      </c>
      <c r="H38" t="s">
        <v>107</v>
      </c>
      <c r="I38" t="s">
        <v>260</v>
      </c>
      <c r="J38" t="str">
        <f t="shared" si="2"/>
        <v>outlook.com</v>
      </c>
      <c r="K38" t="s">
        <v>259</v>
      </c>
      <c r="L38" t="s">
        <v>1916</v>
      </c>
      <c r="M38" s="2">
        <v>45242</v>
      </c>
      <c r="N38" t="s">
        <v>1915</v>
      </c>
      <c r="O38" t="s">
        <v>65</v>
      </c>
      <c r="P38">
        <v>20.7</v>
      </c>
      <c r="Q38">
        <v>5</v>
      </c>
      <c r="R38" t="s">
        <v>1</v>
      </c>
      <c r="S38" s="5">
        <v>0</v>
      </c>
      <c r="T38" s="3">
        <v>2</v>
      </c>
      <c r="U38" s="4" t="str">
        <f t="shared" si="3"/>
        <v>Late_Delivery</v>
      </c>
      <c r="V38">
        <v>64</v>
      </c>
      <c r="W38" s="3">
        <f t="shared" si="4"/>
        <v>6</v>
      </c>
      <c r="X38" s="2">
        <v>45248</v>
      </c>
      <c r="Y38" s="1">
        <f>YEAR(Table2[[#This Row],[Delivery_Date]])</f>
        <v>2023</v>
      </c>
      <c r="Z38" s="2" t="str">
        <f t="shared" si="5"/>
        <v>Nov</v>
      </c>
      <c r="AA38" t="s">
        <v>1914</v>
      </c>
      <c r="AB38">
        <f t="shared" si="6"/>
        <v>167.5</v>
      </c>
      <c r="AC38">
        <f>Table2[[#This Row],[Price]]*Table2[[#This Row],[Quantity]]*Table2[[#This Row],[COUPON %]]/100</f>
        <v>0</v>
      </c>
      <c r="AD38">
        <f t="shared" si="7"/>
        <v>103.5</v>
      </c>
      <c r="AE38" s="1">
        <f t="shared" si="8"/>
        <v>103.5</v>
      </c>
    </row>
    <row r="39" spans="1:31" x14ac:dyDescent="0.25">
      <c r="A39" t="s">
        <v>288</v>
      </c>
      <c r="B39" t="str">
        <f t="shared" si="0"/>
        <v xml:space="preserve">Jenny Estrada </v>
      </c>
      <c r="C39" t="s">
        <v>287</v>
      </c>
      <c r="D39" t="s">
        <v>286</v>
      </c>
      <c r="E39">
        <v>45</v>
      </c>
      <c r="F39" t="str">
        <f t="shared" si="1"/>
        <v>36-45</v>
      </c>
      <c r="G39" t="s">
        <v>108</v>
      </c>
      <c r="H39" t="s">
        <v>7</v>
      </c>
      <c r="I39" t="s">
        <v>285</v>
      </c>
      <c r="J39" t="str">
        <f t="shared" si="2"/>
        <v>yahoo.com</v>
      </c>
      <c r="K39" t="s">
        <v>284</v>
      </c>
      <c r="L39" t="s">
        <v>1913</v>
      </c>
      <c r="M39" s="2">
        <v>45193</v>
      </c>
      <c r="N39" t="s">
        <v>1912</v>
      </c>
      <c r="O39" t="s">
        <v>149</v>
      </c>
      <c r="P39">
        <v>481.48</v>
      </c>
      <c r="Q39">
        <v>2</v>
      </c>
      <c r="R39" t="s">
        <v>93</v>
      </c>
      <c r="S39" s="5">
        <v>15</v>
      </c>
      <c r="T39" s="3">
        <v>3</v>
      </c>
      <c r="U39" s="4" t="str">
        <f t="shared" si="3"/>
        <v>On_time</v>
      </c>
      <c r="V39">
        <v>50</v>
      </c>
      <c r="W39" s="3">
        <f t="shared" si="4"/>
        <v>3</v>
      </c>
      <c r="X39" s="2">
        <v>45196</v>
      </c>
      <c r="Y39" s="1">
        <f>YEAR(Table2[[#This Row],[Delivery_Date]])</f>
        <v>2023</v>
      </c>
      <c r="Z39" s="2" t="str">
        <f t="shared" si="5"/>
        <v>Sep</v>
      </c>
      <c r="AA39" t="s">
        <v>1911</v>
      </c>
      <c r="AB39">
        <f t="shared" si="6"/>
        <v>868.51599999999996</v>
      </c>
      <c r="AC39">
        <f>Table2[[#This Row],[Price]]*Table2[[#This Row],[Quantity]]*Table2[[#This Row],[COUPON %]]/100</f>
        <v>144.44400000000002</v>
      </c>
      <c r="AD39">
        <f t="shared" si="7"/>
        <v>818.51599999999996</v>
      </c>
      <c r="AE39" s="1">
        <f t="shared" si="8"/>
        <v>962.96</v>
      </c>
    </row>
    <row r="40" spans="1:31" x14ac:dyDescent="0.25">
      <c r="A40" t="s">
        <v>147</v>
      </c>
      <c r="B40" t="str">
        <f t="shared" si="0"/>
        <v xml:space="preserve">Courtney Parker </v>
      </c>
      <c r="C40" t="s">
        <v>146</v>
      </c>
      <c r="D40" t="s">
        <v>145</v>
      </c>
      <c r="E40">
        <v>29</v>
      </c>
      <c r="F40" t="str">
        <f t="shared" si="1"/>
        <v>26-35</v>
      </c>
      <c r="G40" t="s">
        <v>8</v>
      </c>
      <c r="H40" t="s">
        <v>118</v>
      </c>
      <c r="I40" t="s">
        <v>144</v>
      </c>
      <c r="J40" t="str">
        <f t="shared" si="2"/>
        <v>yahoo.com</v>
      </c>
      <c r="K40" t="s">
        <v>143</v>
      </c>
      <c r="L40" t="s">
        <v>1910</v>
      </c>
      <c r="M40" s="2">
        <v>45656</v>
      </c>
      <c r="N40" t="s">
        <v>1909</v>
      </c>
      <c r="O40" t="s">
        <v>181</v>
      </c>
      <c r="P40">
        <v>405</v>
      </c>
      <c r="Q40">
        <v>1</v>
      </c>
      <c r="R40" t="s">
        <v>1</v>
      </c>
      <c r="S40" s="5">
        <v>0</v>
      </c>
      <c r="T40" s="3">
        <v>7</v>
      </c>
      <c r="U40" s="4" t="str">
        <f t="shared" si="3"/>
        <v>Before_time</v>
      </c>
      <c r="V40">
        <v>36</v>
      </c>
      <c r="W40" s="3">
        <f t="shared" si="4"/>
        <v>5</v>
      </c>
      <c r="X40" s="2">
        <v>45661</v>
      </c>
      <c r="Y40" s="1">
        <f>YEAR(Table2[[#This Row],[Delivery_Date]])</f>
        <v>2025</v>
      </c>
      <c r="Z40" s="2" t="str">
        <f t="shared" si="5"/>
        <v>Jan</v>
      </c>
      <c r="AA40" t="s">
        <v>1908</v>
      </c>
      <c r="AB40">
        <f t="shared" si="6"/>
        <v>441</v>
      </c>
      <c r="AC40">
        <f>Table2[[#This Row],[Price]]*Table2[[#This Row],[Quantity]]*Table2[[#This Row],[COUPON %]]/100</f>
        <v>0</v>
      </c>
      <c r="AD40">
        <f t="shared" si="7"/>
        <v>405</v>
      </c>
      <c r="AE40" s="1">
        <f t="shared" si="8"/>
        <v>405</v>
      </c>
    </row>
    <row r="41" spans="1:31" x14ac:dyDescent="0.25">
      <c r="A41" t="s">
        <v>745</v>
      </c>
      <c r="B41" t="str">
        <f t="shared" si="0"/>
        <v xml:space="preserve">Julie Meyer </v>
      </c>
      <c r="C41" t="s">
        <v>744</v>
      </c>
      <c r="D41" t="s">
        <v>743</v>
      </c>
      <c r="E41">
        <v>23</v>
      </c>
      <c r="F41" t="str">
        <f t="shared" si="1"/>
        <v>0-25</v>
      </c>
      <c r="G41" t="s">
        <v>108</v>
      </c>
      <c r="H41" t="s">
        <v>107</v>
      </c>
      <c r="I41" t="s">
        <v>742</v>
      </c>
      <c r="J41" t="str">
        <f t="shared" si="2"/>
        <v>yahoo.com</v>
      </c>
      <c r="K41" t="s">
        <v>741</v>
      </c>
      <c r="L41" t="s">
        <v>1907</v>
      </c>
      <c r="M41" s="2">
        <v>45574</v>
      </c>
      <c r="N41" t="s">
        <v>1906</v>
      </c>
      <c r="O41" t="s">
        <v>233</v>
      </c>
      <c r="P41">
        <v>77.84</v>
      </c>
      <c r="Q41">
        <v>5</v>
      </c>
      <c r="R41" t="s">
        <v>1</v>
      </c>
      <c r="S41" s="5">
        <v>0</v>
      </c>
      <c r="T41" s="3">
        <v>4</v>
      </c>
      <c r="U41" s="4" t="str">
        <f t="shared" si="3"/>
        <v>Before_time</v>
      </c>
      <c r="V41">
        <v>47</v>
      </c>
      <c r="W41" s="3">
        <f t="shared" si="4"/>
        <v>1</v>
      </c>
      <c r="X41" s="2">
        <v>45575</v>
      </c>
      <c r="Y41" s="1">
        <f>YEAR(Table2[[#This Row],[Delivery_Date]])</f>
        <v>2024</v>
      </c>
      <c r="Z41" s="2" t="str">
        <f t="shared" si="5"/>
        <v>Oct</v>
      </c>
      <c r="AA41" t="s">
        <v>1905</v>
      </c>
      <c r="AB41">
        <f t="shared" si="6"/>
        <v>436.20000000000005</v>
      </c>
      <c r="AC41">
        <f>Table2[[#This Row],[Price]]*Table2[[#This Row],[Quantity]]*Table2[[#This Row],[COUPON %]]/100</f>
        <v>0</v>
      </c>
      <c r="AD41">
        <f t="shared" si="7"/>
        <v>389.20000000000005</v>
      </c>
      <c r="AE41" s="1">
        <f t="shared" si="8"/>
        <v>389.20000000000005</v>
      </c>
    </row>
    <row r="42" spans="1:31" x14ac:dyDescent="0.25">
      <c r="A42" t="s">
        <v>262</v>
      </c>
      <c r="B42" t="str">
        <f t="shared" si="0"/>
        <v xml:space="preserve">Angela Horne </v>
      </c>
      <c r="C42" t="s">
        <v>10</v>
      </c>
      <c r="D42" t="s">
        <v>261</v>
      </c>
      <c r="E42">
        <v>49</v>
      </c>
      <c r="F42" t="str">
        <f t="shared" si="1"/>
        <v>&gt;45</v>
      </c>
      <c r="G42" t="s">
        <v>8</v>
      </c>
      <c r="H42" t="s">
        <v>107</v>
      </c>
      <c r="I42" t="s">
        <v>260</v>
      </c>
      <c r="J42" t="str">
        <f t="shared" si="2"/>
        <v>outlook.com</v>
      </c>
      <c r="K42" t="s">
        <v>259</v>
      </c>
      <c r="L42" t="s">
        <v>1904</v>
      </c>
      <c r="M42" s="2">
        <v>45557</v>
      </c>
      <c r="N42" t="s">
        <v>1903</v>
      </c>
      <c r="O42" t="s">
        <v>290</v>
      </c>
      <c r="P42">
        <v>372.62</v>
      </c>
      <c r="Q42">
        <v>3</v>
      </c>
      <c r="R42" t="s">
        <v>34</v>
      </c>
      <c r="S42" s="5">
        <v>8</v>
      </c>
      <c r="T42" s="3">
        <v>3</v>
      </c>
      <c r="U42" s="4" t="str">
        <f t="shared" si="3"/>
        <v>Late_Delivery</v>
      </c>
      <c r="V42">
        <v>59</v>
      </c>
      <c r="W42" s="3">
        <f t="shared" si="4"/>
        <v>7</v>
      </c>
      <c r="X42" s="2">
        <v>45564</v>
      </c>
      <c r="Y42" s="1">
        <f>YEAR(Table2[[#This Row],[Delivery_Date]])</f>
        <v>2024</v>
      </c>
      <c r="Z42" s="2" t="str">
        <f t="shared" si="5"/>
        <v>Sep</v>
      </c>
      <c r="AA42" t="s">
        <v>1902</v>
      </c>
      <c r="AB42">
        <f t="shared" si="6"/>
        <v>1087.4312000000002</v>
      </c>
      <c r="AC42">
        <f>Table2[[#This Row],[Price]]*Table2[[#This Row],[Quantity]]*Table2[[#This Row],[COUPON %]]/100</f>
        <v>89.42880000000001</v>
      </c>
      <c r="AD42">
        <f t="shared" si="7"/>
        <v>1028.4312000000002</v>
      </c>
      <c r="AE42" s="1">
        <f t="shared" si="8"/>
        <v>1117.8600000000001</v>
      </c>
    </row>
    <row r="43" spans="1:31" x14ac:dyDescent="0.25">
      <c r="A43" t="s">
        <v>1129</v>
      </c>
      <c r="B43" t="str">
        <f t="shared" si="0"/>
        <v xml:space="preserve">Amy Reid </v>
      </c>
      <c r="C43" t="s">
        <v>270</v>
      </c>
      <c r="D43" t="s">
        <v>1128</v>
      </c>
      <c r="E43">
        <v>44</v>
      </c>
      <c r="F43" t="str">
        <f t="shared" si="1"/>
        <v>36-45</v>
      </c>
      <c r="G43" t="s">
        <v>29</v>
      </c>
      <c r="H43" t="s">
        <v>118</v>
      </c>
      <c r="I43" t="s">
        <v>1127</v>
      </c>
      <c r="J43" t="str">
        <f t="shared" si="2"/>
        <v>rediffmail.com</v>
      </c>
      <c r="K43" t="s">
        <v>1126</v>
      </c>
      <c r="L43" t="s">
        <v>1901</v>
      </c>
      <c r="M43" s="2">
        <v>45568</v>
      </c>
      <c r="N43" t="s">
        <v>1900</v>
      </c>
      <c r="O43" t="s">
        <v>290</v>
      </c>
      <c r="P43">
        <v>372.62</v>
      </c>
      <c r="Q43">
        <v>3</v>
      </c>
      <c r="R43" t="s">
        <v>34</v>
      </c>
      <c r="S43" s="5">
        <v>8</v>
      </c>
      <c r="T43" s="3">
        <v>1</v>
      </c>
      <c r="U43" s="4" t="str">
        <f t="shared" si="3"/>
        <v>Late_Delivery</v>
      </c>
      <c r="V43">
        <v>52</v>
      </c>
      <c r="W43" s="3">
        <f t="shared" si="4"/>
        <v>7</v>
      </c>
      <c r="X43" s="2">
        <v>45575</v>
      </c>
      <c r="Y43" s="1">
        <f>YEAR(Table2[[#This Row],[Delivery_Date]])</f>
        <v>2024</v>
      </c>
      <c r="Z43" s="2" t="str">
        <f t="shared" si="5"/>
        <v>Oct</v>
      </c>
      <c r="AA43" t="s">
        <v>1899</v>
      </c>
      <c r="AB43">
        <f t="shared" si="6"/>
        <v>1080.4312000000002</v>
      </c>
      <c r="AC43">
        <f>Table2[[#This Row],[Price]]*Table2[[#This Row],[Quantity]]*Table2[[#This Row],[COUPON %]]/100</f>
        <v>89.42880000000001</v>
      </c>
      <c r="AD43">
        <f t="shared" si="7"/>
        <v>1028.4312000000002</v>
      </c>
      <c r="AE43" s="1">
        <f t="shared" si="8"/>
        <v>1117.8600000000001</v>
      </c>
    </row>
    <row r="44" spans="1:31" x14ac:dyDescent="0.25">
      <c r="A44" t="s">
        <v>444</v>
      </c>
      <c r="B44" t="str">
        <f t="shared" si="0"/>
        <v xml:space="preserve">Donna Oneill </v>
      </c>
      <c r="C44" t="s">
        <v>443</v>
      </c>
      <c r="D44" t="s">
        <v>442</v>
      </c>
      <c r="E44">
        <v>70</v>
      </c>
      <c r="F44" t="str">
        <f t="shared" si="1"/>
        <v>&gt;45</v>
      </c>
      <c r="G44" t="s">
        <v>108</v>
      </c>
      <c r="H44" t="s">
        <v>79</v>
      </c>
      <c r="I44" t="s">
        <v>441</v>
      </c>
      <c r="J44" t="str">
        <f t="shared" si="2"/>
        <v>yahoo.com</v>
      </c>
      <c r="K44" t="s">
        <v>440</v>
      </c>
      <c r="L44" t="s">
        <v>1898</v>
      </c>
      <c r="M44" s="2">
        <v>45151</v>
      </c>
      <c r="N44" t="s">
        <v>1897</v>
      </c>
      <c r="O44" t="s">
        <v>264</v>
      </c>
      <c r="P44">
        <v>496.59</v>
      </c>
      <c r="Q44">
        <v>3</v>
      </c>
      <c r="R44" t="s">
        <v>93</v>
      </c>
      <c r="S44" s="5">
        <v>15</v>
      </c>
      <c r="T44" s="3">
        <v>4</v>
      </c>
      <c r="U44" s="4" t="str">
        <f t="shared" si="3"/>
        <v>Before_time</v>
      </c>
      <c r="V44">
        <v>49</v>
      </c>
      <c r="W44" s="3">
        <f t="shared" si="4"/>
        <v>1</v>
      </c>
      <c r="X44" s="2">
        <v>45152</v>
      </c>
      <c r="Y44" s="1">
        <f>YEAR(Table2[[#This Row],[Delivery_Date]])</f>
        <v>2023</v>
      </c>
      <c r="Z44" s="2" t="str">
        <f t="shared" si="5"/>
        <v>Aug</v>
      </c>
      <c r="AA44" t="s">
        <v>1896</v>
      </c>
      <c r="AB44">
        <f t="shared" si="6"/>
        <v>1315.3045</v>
      </c>
      <c r="AC44">
        <f>Table2[[#This Row],[Price]]*Table2[[#This Row],[Quantity]]*Table2[[#This Row],[COUPON %]]/100</f>
        <v>223.46549999999999</v>
      </c>
      <c r="AD44">
        <f t="shared" si="7"/>
        <v>1266.3045</v>
      </c>
      <c r="AE44" s="1">
        <f t="shared" si="8"/>
        <v>1489.77</v>
      </c>
    </row>
    <row r="45" spans="1:31" x14ac:dyDescent="0.25">
      <c r="A45" t="s">
        <v>82</v>
      </c>
      <c r="B45" t="str">
        <f t="shared" si="0"/>
        <v xml:space="preserve">Robert Castillo </v>
      </c>
      <c r="C45" t="s">
        <v>81</v>
      </c>
      <c r="D45" t="s">
        <v>80</v>
      </c>
      <c r="E45">
        <v>32</v>
      </c>
      <c r="F45" t="str">
        <f t="shared" si="1"/>
        <v>26-35</v>
      </c>
      <c r="G45" t="s">
        <v>29</v>
      </c>
      <c r="H45" t="s">
        <v>79</v>
      </c>
      <c r="I45" t="s">
        <v>78</v>
      </c>
      <c r="J45" t="str">
        <f t="shared" si="2"/>
        <v>gmail.com</v>
      </c>
      <c r="K45" t="s">
        <v>77</v>
      </c>
      <c r="L45" t="s">
        <v>1895</v>
      </c>
      <c r="M45" s="2">
        <v>45020</v>
      </c>
      <c r="N45" t="s">
        <v>1894</v>
      </c>
      <c r="O45" t="s">
        <v>74</v>
      </c>
      <c r="P45">
        <v>129.75</v>
      </c>
      <c r="Q45">
        <v>1</v>
      </c>
      <c r="R45" t="s">
        <v>166</v>
      </c>
      <c r="S45" s="5">
        <v>10</v>
      </c>
      <c r="T45" s="3">
        <v>6</v>
      </c>
      <c r="U45" s="4" t="str">
        <f t="shared" si="3"/>
        <v>On_time</v>
      </c>
      <c r="V45">
        <v>43</v>
      </c>
      <c r="W45" s="3">
        <f t="shared" si="4"/>
        <v>6</v>
      </c>
      <c r="X45" s="2">
        <v>45026</v>
      </c>
      <c r="Y45" s="1">
        <f>YEAR(Table2[[#This Row],[Delivery_Date]])</f>
        <v>2023</v>
      </c>
      <c r="Z45" s="2" t="str">
        <f t="shared" si="5"/>
        <v>Apr</v>
      </c>
      <c r="AA45" t="s">
        <v>1893</v>
      </c>
      <c r="AB45">
        <f t="shared" si="6"/>
        <v>159.77500000000001</v>
      </c>
      <c r="AC45">
        <f>Table2[[#This Row],[Price]]*Table2[[#This Row],[Quantity]]*Table2[[#This Row],[COUPON %]]/100</f>
        <v>12.975</v>
      </c>
      <c r="AD45">
        <f t="shared" si="7"/>
        <v>116.77500000000001</v>
      </c>
      <c r="AE45" s="1">
        <f t="shared" si="8"/>
        <v>129.75</v>
      </c>
    </row>
    <row r="46" spans="1:31" x14ac:dyDescent="0.25">
      <c r="A46" t="s">
        <v>353</v>
      </c>
      <c r="B46" t="str">
        <f t="shared" si="0"/>
        <v xml:space="preserve">Timothy Hicks </v>
      </c>
      <c r="C46" t="s">
        <v>352</v>
      </c>
      <c r="D46" t="s">
        <v>41</v>
      </c>
      <c r="E46">
        <v>31</v>
      </c>
      <c r="F46" t="str">
        <f t="shared" si="1"/>
        <v>26-35</v>
      </c>
      <c r="G46" t="s">
        <v>8</v>
      </c>
      <c r="H46" t="s">
        <v>59</v>
      </c>
      <c r="I46" t="s">
        <v>351</v>
      </c>
      <c r="J46" t="str">
        <f t="shared" si="2"/>
        <v>gmail.com</v>
      </c>
      <c r="K46" t="s">
        <v>350</v>
      </c>
      <c r="L46" t="s">
        <v>1892</v>
      </c>
      <c r="M46" s="2">
        <v>45336</v>
      </c>
      <c r="N46" t="s">
        <v>1891</v>
      </c>
      <c r="O46" t="s">
        <v>644</v>
      </c>
      <c r="P46">
        <v>190.1</v>
      </c>
      <c r="Q46">
        <v>5</v>
      </c>
      <c r="R46" t="s">
        <v>34</v>
      </c>
      <c r="S46" s="5">
        <v>8</v>
      </c>
      <c r="T46" s="3">
        <v>5</v>
      </c>
      <c r="U46" s="4" t="str">
        <f t="shared" si="3"/>
        <v>On_time</v>
      </c>
      <c r="V46">
        <v>35</v>
      </c>
      <c r="W46" s="3">
        <f t="shared" si="4"/>
        <v>5</v>
      </c>
      <c r="X46" s="2">
        <v>45341</v>
      </c>
      <c r="Y46" s="1">
        <f>YEAR(Table2[[#This Row],[Delivery_Date]])</f>
        <v>2024</v>
      </c>
      <c r="Z46" s="2" t="str">
        <f t="shared" si="5"/>
        <v>Feb</v>
      </c>
      <c r="AA46" t="s">
        <v>1890</v>
      </c>
      <c r="AB46">
        <f t="shared" si="6"/>
        <v>909.46</v>
      </c>
      <c r="AC46">
        <f>Table2[[#This Row],[Price]]*Table2[[#This Row],[Quantity]]*Table2[[#This Row],[COUPON %]]/100</f>
        <v>76.040000000000006</v>
      </c>
      <c r="AD46">
        <f t="shared" si="7"/>
        <v>874.46</v>
      </c>
      <c r="AE46" s="1">
        <f t="shared" si="8"/>
        <v>950.5</v>
      </c>
    </row>
    <row r="47" spans="1:31" x14ac:dyDescent="0.25">
      <c r="A47" t="s">
        <v>378</v>
      </c>
      <c r="B47" t="str">
        <f t="shared" si="0"/>
        <v xml:space="preserve">Thomas Andersen </v>
      </c>
      <c r="C47" t="s">
        <v>369</v>
      </c>
      <c r="D47" t="s">
        <v>377</v>
      </c>
      <c r="E47">
        <v>50</v>
      </c>
      <c r="F47" t="str">
        <f t="shared" si="1"/>
        <v>&gt;45</v>
      </c>
      <c r="G47" t="s">
        <v>8</v>
      </c>
      <c r="H47" t="s">
        <v>59</v>
      </c>
      <c r="I47" t="s">
        <v>376</v>
      </c>
      <c r="J47" t="str">
        <f t="shared" si="2"/>
        <v>yahoo.com</v>
      </c>
      <c r="K47" t="s">
        <v>375</v>
      </c>
      <c r="L47" t="s">
        <v>1889</v>
      </c>
      <c r="M47" s="2">
        <v>44987</v>
      </c>
      <c r="N47" t="s">
        <v>1888</v>
      </c>
      <c r="O47" t="s">
        <v>644</v>
      </c>
      <c r="P47">
        <v>190.1</v>
      </c>
      <c r="Q47">
        <v>1</v>
      </c>
      <c r="R47" t="s">
        <v>64</v>
      </c>
      <c r="S47" s="5">
        <v>20</v>
      </c>
      <c r="T47" s="3">
        <v>4</v>
      </c>
      <c r="U47" s="4" t="str">
        <f t="shared" si="3"/>
        <v>Late_Delivery</v>
      </c>
      <c r="V47">
        <v>63</v>
      </c>
      <c r="W47" s="3">
        <f t="shared" si="4"/>
        <v>5</v>
      </c>
      <c r="X47" s="2">
        <v>44992</v>
      </c>
      <c r="Y47" s="1">
        <f>YEAR(Table2[[#This Row],[Delivery_Date]])</f>
        <v>2023</v>
      </c>
      <c r="Z47" s="2" t="str">
        <f t="shared" si="5"/>
        <v>Mar</v>
      </c>
      <c r="AA47" t="s">
        <v>1887</v>
      </c>
      <c r="AB47">
        <f t="shared" si="6"/>
        <v>215.08</v>
      </c>
      <c r="AC47">
        <f>Table2[[#This Row],[Price]]*Table2[[#This Row],[Quantity]]*Table2[[#This Row],[COUPON %]]/100</f>
        <v>38.020000000000003</v>
      </c>
      <c r="AD47">
        <f t="shared" si="7"/>
        <v>152.08000000000001</v>
      </c>
      <c r="AE47" s="1">
        <f t="shared" si="8"/>
        <v>190.1</v>
      </c>
    </row>
    <row r="48" spans="1:31" x14ac:dyDescent="0.25">
      <c r="A48" t="s">
        <v>1195</v>
      </c>
      <c r="B48" t="str">
        <f t="shared" si="0"/>
        <v xml:space="preserve">Valerie Carr </v>
      </c>
      <c r="C48" t="s">
        <v>1194</v>
      </c>
      <c r="D48" t="s">
        <v>1193</v>
      </c>
      <c r="E48">
        <v>26</v>
      </c>
      <c r="F48" t="str">
        <f t="shared" si="1"/>
        <v>26-35</v>
      </c>
      <c r="G48" t="s">
        <v>8</v>
      </c>
      <c r="H48" t="s">
        <v>79</v>
      </c>
      <c r="I48" t="s">
        <v>1192</v>
      </c>
      <c r="J48" t="str">
        <f t="shared" si="2"/>
        <v>rediffmail.com</v>
      </c>
      <c r="K48" t="s">
        <v>1191</v>
      </c>
      <c r="L48" t="s">
        <v>1886</v>
      </c>
      <c r="M48" s="2">
        <v>45313</v>
      </c>
      <c r="N48" t="s">
        <v>1885</v>
      </c>
      <c r="O48" t="s">
        <v>303</v>
      </c>
      <c r="P48">
        <v>431.44</v>
      </c>
      <c r="Q48">
        <v>5</v>
      </c>
      <c r="R48" t="s">
        <v>34</v>
      </c>
      <c r="S48" s="5">
        <v>8</v>
      </c>
      <c r="T48" s="3">
        <v>2</v>
      </c>
      <c r="U48" s="4" t="str">
        <f t="shared" si="3"/>
        <v>Late_Delivery</v>
      </c>
      <c r="V48">
        <v>57</v>
      </c>
      <c r="W48" s="3">
        <f t="shared" si="4"/>
        <v>5</v>
      </c>
      <c r="X48" s="2">
        <v>45318</v>
      </c>
      <c r="Y48" s="1">
        <f>YEAR(Table2[[#This Row],[Delivery_Date]])</f>
        <v>2024</v>
      </c>
      <c r="Z48" s="2" t="str">
        <f t="shared" si="5"/>
        <v>Jan</v>
      </c>
      <c r="AA48" t="s">
        <v>1884</v>
      </c>
      <c r="AB48">
        <f t="shared" si="6"/>
        <v>2041.624</v>
      </c>
      <c r="AC48">
        <f>Table2[[#This Row],[Price]]*Table2[[#This Row],[Quantity]]*Table2[[#This Row],[COUPON %]]/100</f>
        <v>172.57599999999999</v>
      </c>
      <c r="AD48">
        <f t="shared" si="7"/>
        <v>1984.624</v>
      </c>
      <c r="AE48" s="1">
        <f t="shared" si="8"/>
        <v>2157.1999999999998</v>
      </c>
    </row>
    <row r="49" spans="1:31" x14ac:dyDescent="0.25">
      <c r="A49" t="s">
        <v>121</v>
      </c>
      <c r="B49" t="str">
        <f t="shared" si="0"/>
        <v xml:space="preserve">Aaron Thompson </v>
      </c>
      <c r="C49" t="s">
        <v>120</v>
      </c>
      <c r="D49" t="s">
        <v>119</v>
      </c>
      <c r="E49">
        <v>47</v>
      </c>
      <c r="F49" t="str">
        <f t="shared" si="1"/>
        <v>&gt;45</v>
      </c>
      <c r="G49" t="s">
        <v>29</v>
      </c>
      <c r="H49" t="s">
        <v>118</v>
      </c>
      <c r="I49" t="s">
        <v>117</v>
      </c>
      <c r="J49" t="str">
        <f t="shared" si="2"/>
        <v>gmail.com</v>
      </c>
      <c r="K49" t="s">
        <v>116</v>
      </c>
      <c r="L49" t="s">
        <v>1883</v>
      </c>
      <c r="M49" s="2">
        <v>45054</v>
      </c>
      <c r="N49" t="s">
        <v>1882</v>
      </c>
      <c r="O49" t="s">
        <v>347</v>
      </c>
      <c r="P49">
        <v>157.63999999999999</v>
      </c>
      <c r="Q49">
        <v>4</v>
      </c>
      <c r="R49" t="s">
        <v>34</v>
      </c>
      <c r="S49" s="5">
        <v>8</v>
      </c>
      <c r="T49" s="3">
        <v>4</v>
      </c>
      <c r="U49" s="4" t="str">
        <f t="shared" si="3"/>
        <v>Late_Delivery</v>
      </c>
      <c r="V49">
        <v>44</v>
      </c>
      <c r="W49" s="3">
        <f t="shared" si="4"/>
        <v>7</v>
      </c>
      <c r="X49" s="2">
        <v>45061</v>
      </c>
      <c r="Y49" s="1">
        <f>YEAR(Table2[[#This Row],[Delivery_Date]])</f>
        <v>2023</v>
      </c>
      <c r="Z49" s="2" t="str">
        <f t="shared" si="5"/>
        <v>May</v>
      </c>
      <c r="AA49" t="s">
        <v>1881</v>
      </c>
      <c r="AB49">
        <f t="shared" si="6"/>
        <v>624.11519999999996</v>
      </c>
      <c r="AC49">
        <f>Table2[[#This Row],[Price]]*Table2[[#This Row],[Quantity]]*Table2[[#This Row],[COUPON %]]/100</f>
        <v>50.444799999999994</v>
      </c>
      <c r="AD49">
        <f t="shared" si="7"/>
        <v>580.11519999999996</v>
      </c>
      <c r="AE49" s="1">
        <f t="shared" si="8"/>
        <v>630.55999999999995</v>
      </c>
    </row>
    <row r="50" spans="1:31" x14ac:dyDescent="0.25">
      <c r="A50" t="s">
        <v>630</v>
      </c>
      <c r="B50" t="str">
        <f t="shared" si="0"/>
        <v xml:space="preserve">Jason Lopez </v>
      </c>
      <c r="C50" t="s">
        <v>629</v>
      </c>
      <c r="D50" t="s">
        <v>596</v>
      </c>
      <c r="E50">
        <v>40</v>
      </c>
      <c r="F50" t="str">
        <f t="shared" si="1"/>
        <v>36-45</v>
      </c>
      <c r="G50" t="s">
        <v>8</v>
      </c>
      <c r="H50" t="s">
        <v>79</v>
      </c>
      <c r="I50" t="s">
        <v>628</v>
      </c>
      <c r="J50" t="str">
        <f t="shared" si="2"/>
        <v>outlook.com</v>
      </c>
      <c r="K50" t="s">
        <v>627</v>
      </c>
      <c r="L50" t="s">
        <v>1880</v>
      </c>
      <c r="M50" s="2">
        <v>45620</v>
      </c>
      <c r="N50" t="s">
        <v>1879</v>
      </c>
      <c r="O50" t="s">
        <v>211</v>
      </c>
      <c r="P50">
        <v>166.28</v>
      </c>
      <c r="Q50">
        <v>4</v>
      </c>
      <c r="R50" t="s">
        <v>1</v>
      </c>
      <c r="S50" s="5">
        <v>0</v>
      </c>
      <c r="T50" s="3">
        <v>3</v>
      </c>
      <c r="U50" s="4" t="str">
        <f t="shared" si="3"/>
        <v>Late_Delivery</v>
      </c>
      <c r="V50">
        <v>41</v>
      </c>
      <c r="W50" s="3">
        <f t="shared" si="4"/>
        <v>6</v>
      </c>
      <c r="X50" s="2">
        <v>45626</v>
      </c>
      <c r="Y50" s="1">
        <f>YEAR(Table2[[#This Row],[Delivery_Date]])</f>
        <v>2024</v>
      </c>
      <c r="Z50" s="2" t="str">
        <f t="shared" si="5"/>
        <v>Nov</v>
      </c>
      <c r="AA50" t="s">
        <v>1878</v>
      </c>
      <c r="AB50">
        <f t="shared" si="6"/>
        <v>706.12</v>
      </c>
      <c r="AC50">
        <f>Table2[[#This Row],[Price]]*Table2[[#This Row],[Quantity]]*Table2[[#This Row],[COUPON %]]/100</f>
        <v>0</v>
      </c>
      <c r="AD50">
        <f t="shared" si="7"/>
        <v>665.12</v>
      </c>
      <c r="AE50" s="1">
        <f t="shared" si="8"/>
        <v>665.12</v>
      </c>
    </row>
    <row r="51" spans="1:31" x14ac:dyDescent="0.25">
      <c r="A51" t="s">
        <v>206</v>
      </c>
      <c r="B51" t="str">
        <f t="shared" si="0"/>
        <v xml:space="preserve">Alexandra Smith </v>
      </c>
      <c r="C51" t="s">
        <v>205</v>
      </c>
      <c r="D51" t="s">
        <v>204</v>
      </c>
      <c r="E51">
        <v>70</v>
      </c>
      <c r="F51" t="str">
        <f t="shared" si="1"/>
        <v>&gt;45</v>
      </c>
      <c r="G51" t="s">
        <v>108</v>
      </c>
      <c r="H51" t="s">
        <v>107</v>
      </c>
      <c r="I51" t="s">
        <v>203</v>
      </c>
      <c r="J51" t="str">
        <f t="shared" si="2"/>
        <v>rediffmail.com</v>
      </c>
      <c r="K51" t="s">
        <v>202</v>
      </c>
      <c r="L51" t="s">
        <v>1877</v>
      </c>
      <c r="M51" s="2">
        <v>45545</v>
      </c>
      <c r="N51" t="s">
        <v>1876</v>
      </c>
      <c r="O51" t="s">
        <v>65</v>
      </c>
      <c r="P51">
        <v>20.7</v>
      </c>
      <c r="Q51">
        <v>2</v>
      </c>
      <c r="R51" t="s">
        <v>166</v>
      </c>
      <c r="S51" s="5">
        <v>10</v>
      </c>
      <c r="T51" s="3">
        <v>2</v>
      </c>
      <c r="U51" s="4" t="str">
        <f t="shared" si="3"/>
        <v>On_time</v>
      </c>
      <c r="V51">
        <v>50</v>
      </c>
      <c r="W51" s="3">
        <f t="shared" si="4"/>
        <v>2</v>
      </c>
      <c r="X51" s="2">
        <v>45547</v>
      </c>
      <c r="Y51" s="1">
        <f>YEAR(Table2[[#This Row],[Delivery_Date]])</f>
        <v>2024</v>
      </c>
      <c r="Z51" s="2" t="str">
        <f t="shared" si="5"/>
        <v>Sep</v>
      </c>
      <c r="AA51" t="s">
        <v>1875</v>
      </c>
      <c r="AB51">
        <f t="shared" si="6"/>
        <v>87.259999999999991</v>
      </c>
      <c r="AC51">
        <f>Table2[[#This Row],[Price]]*Table2[[#This Row],[Quantity]]*Table2[[#This Row],[COUPON %]]/100</f>
        <v>4.1399999999999997</v>
      </c>
      <c r="AD51">
        <f t="shared" si="7"/>
        <v>37.26</v>
      </c>
      <c r="AE51" s="1">
        <f t="shared" si="8"/>
        <v>41.4</v>
      </c>
    </row>
    <row r="52" spans="1:31" x14ac:dyDescent="0.25">
      <c r="A52" t="s">
        <v>444</v>
      </c>
      <c r="B52" t="str">
        <f t="shared" si="0"/>
        <v xml:space="preserve">Donna Oneill </v>
      </c>
      <c r="C52" t="s">
        <v>443</v>
      </c>
      <c r="D52" t="s">
        <v>442</v>
      </c>
      <c r="E52">
        <v>70</v>
      </c>
      <c r="F52" t="str">
        <f t="shared" si="1"/>
        <v>&gt;45</v>
      </c>
      <c r="G52" t="s">
        <v>108</v>
      </c>
      <c r="H52" t="s">
        <v>79</v>
      </c>
      <c r="I52" t="s">
        <v>441</v>
      </c>
      <c r="J52" t="str">
        <f t="shared" si="2"/>
        <v>yahoo.com</v>
      </c>
      <c r="K52" t="s">
        <v>440</v>
      </c>
      <c r="L52" t="s">
        <v>1874</v>
      </c>
      <c r="M52" s="2">
        <v>45224</v>
      </c>
      <c r="N52" t="s">
        <v>1873</v>
      </c>
      <c r="O52" t="s">
        <v>74</v>
      </c>
      <c r="P52">
        <v>129.75</v>
      </c>
      <c r="Q52">
        <v>2</v>
      </c>
      <c r="R52" t="s">
        <v>64</v>
      </c>
      <c r="S52" s="5">
        <v>20</v>
      </c>
      <c r="T52" s="3">
        <v>5</v>
      </c>
      <c r="U52" s="4" t="str">
        <f t="shared" si="3"/>
        <v>Before_time</v>
      </c>
      <c r="V52">
        <v>42</v>
      </c>
      <c r="W52" s="3">
        <f t="shared" si="4"/>
        <v>3</v>
      </c>
      <c r="X52" s="2">
        <v>45227</v>
      </c>
      <c r="Y52" s="1">
        <f>YEAR(Table2[[#This Row],[Delivery_Date]])</f>
        <v>2023</v>
      </c>
      <c r="Z52" s="2" t="str">
        <f t="shared" si="5"/>
        <v>Oct</v>
      </c>
      <c r="AA52" t="s">
        <v>1872</v>
      </c>
      <c r="AB52">
        <f t="shared" si="6"/>
        <v>249.60000000000002</v>
      </c>
      <c r="AC52">
        <f>Table2[[#This Row],[Price]]*Table2[[#This Row],[Quantity]]*Table2[[#This Row],[COUPON %]]/100</f>
        <v>51.9</v>
      </c>
      <c r="AD52">
        <f t="shared" si="7"/>
        <v>207.60000000000002</v>
      </c>
      <c r="AE52" s="1">
        <f t="shared" si="8"/>
        <v>259.5</v>
      </c>
    </row>
    <row r="53" spans="1:31" x14ac:dyDescent="0.25">
      <c r="A53" t="s">
        <v>1238</v>
      </c>
      <c r="B53" t="str">
        <f t="shared" si="0"/>
        <v xml:space="preserve">John Ramirez </v>
      </c>
      <c r="C53" t="s">
        <v>1163</v>
      </c>
      <c r="D53" t="s">
        <v>1237</v>
      </c>
      <c r="E53">
        <v>28</v>
      </c>
      <c r="F53" t="str">
        <f t="shared" si="1"/>
        <v>26-35</v>
      </c>
      <c r="G53" t="s">
        <v>8</v>
      </c>
      <c r="H53" t="s">
        <v>59</v>
      </c>
      <c r="I53" t="s">
        <v>1236</v>
      </c>
      <c r="J53" t="str">
        <f t="shared" si="2"/>
        <v>outlook.com</v>
      </c>
      <c r="K53" t="s">
        <v>1235</v>
      </c>
      <c r="L53" t="s">
        <v>1871</v>
      </c>
      <c r="M53" s="2">
        <v>45365</v>
      </c>
      <c r="N53" t="s">
        <v>1870</v>
      </c>
      <c r="O53" t="s">
        <v>2</v>
      </c>
      <c r="P53">
        <v>44.5</v>
      </c>
      <c r="Q53">
        <v>4</v>
      </c>
      <c r="R53" t="s">
        <v>34</v>
      </c>
      <c r="S53" s="5">
        <v>8</v>
      </c>
      <c r="T53" s="3">
        <v>2</v>
      </c>
      <c r="U53" s="4" t="str">
        <f t="shared" si="3"/>
        <v>Late_Delivery</v>
      </c>
      <c r="V53">
        <v>40</v>
      </c>
      <c r="W53" s="3">
        <f t="shared" si="4"/>
        <v>3</v>
      </c>
      <c r="X53" s="2">
        <v>45368</v>
      </c>
      <c r="Y53" s="1">
        <f>YEAR(Table2[[#This Row],[Delivery_Date]])</f>
        <v>2024</v>
      </c>
      <c r="Z53" s="2" t="str">
        <f t="shared" si="5"/>
        <v>Mar</v>
      </c>
      <c r="AA53" t="s">
        <v>1869</v>
      </c>
      <c r="AB53">
        <f t="shared" si="6"/>
        <v>203.76000000000002</v>
      </c>
      <c r="AC53">
        <f>Table2[[#This Row],[Price]]*Table2[[#This Row],[Quantity]]*Table2[[#This Row],[COUPON %]]/100</f>
        <v>14.24</v>
      </c>
      <c r="AD53">
        <f t="shared" si="7"/>
        <v>163.76000000000002</v>
      </c>
      <c r="AE53" s="1">
        <f t="shared" si="8"/>
        <v>178</v>
      </c>
    </row>
    <row r="54" spans="1:31" x14ac:dyDescent="0.25">
      <c r="A54" t="s">
        <v>21</v>
      </c>
      <c r="B54" t="str">
        <f t="shared" si="0"/>
        <v xml:space="preserve">Amanda Howard </v>
      </c>
      <c r="C54" t="s">
        <v>20</v>
      </c>
      <c r="D54" t="s">
        <v>19</v>
      </c>
      <c r="E54">
        <v>52</v>
      </c>
      <c r="F54" t="str">
        <f t="shared" si="1"/>
        <v>&gt;45</v>
      </c>
      <c r="G54" t="s">
        <v>8</v>
      </c>
      <c r="H54" t="s">
        <v>18</v>
      </c>
      <c r="I54" t="s">
        <v>17</v>
      </c>
      <c r="J54" t="str">
        <f t="shared" si="2"/>
        <v>outlook.com</v>
      </c>
      <c r="K54" t="s">
        <v>16</v>
      </c>
      <c r="L54" t="s">
        <v>1868</v>
      </c>
      <c r="M54" s="2">
        <v>45145</v>
      </c>
      <c r="N54" t="s">
        <v>1867</v>
      </c>
      <c r="O54" t="s">
        <v>35</v>
      </c>
      <c r="P54">
        <v>128.13999999999999</v>
      </c>
      <c r="Q54">
        <v>5</v>
      </c>
      <c r="R54" t="s">
        <v>93</v>
      </c>
      <c r="S54" s="5">
        <v>15</v>
      </c>
      <c r="T54" s="3">
        <v>2</v>
      </c>
      <c r="U54" s="4" t="str">
        <f t="shared" si="3"/>
        <v>On_time</v>
      </c>
      <c r="V54">
        <v>57</v>
      </c>
      <c r="W54" s="3">
        <f t="shared" si="4"/>
        <v>2</v>
      </c>
      <c r="X54" s="2">
        <v>45147</v>
      </c>
      <c r="Y54" s="1">
        <f>YEAR(Table2[[#This Row],[Delivery_Date]])</f>
        <v>2023</v>
      </c>
      <c r="Z54" s="2" t="str">
        <f t="shared" si="5"/>
        <v>Aug</v>
      </c>
      <c r="AA54" t="s">
        <v>1866</v>
      </c>
      <c r="AB54">
        <f t="shared" si="6"/>
        <v>601.59499999999991</v>
      </c>
      <c r="AC54">
        <f>Table2[[#This Row],[Price]]*Table2[[#This Row],[Quantity]]*Table2[[#This Row],[COUPON %]]/100</f>
        <v>96.104999999999976</v>
      </c>
      <c r="AD54">
        <f t="shared" si="7"/>
        <v>544.59499999999991</v>
      </c>
      <c r="AE54" s="1">
        <f t="shared" si="8"/>
        <v>640.69999999999993</v>
      </c>
    </row>
    <row r="55" spans="1:31" x14ac:dyDescent="0.25">
      <c r="A55" t="s">
        <v>1195</v>
      </c>
      <c r="B55" t="str">
        <f t="shared" si="0"/>
        <v xml:space="preserve">Valerie Carr </v>
      </c>
      <c r="C55" t="s">
        <v>1194</v>
      </c>
      <c r="D55" t="s">
        <v>1193</v>
      </c>
      <c r="E55">
        <v>26</v>
      </c>
      <c r="F55" t="str">
        <f t="shared" si="1"/>
        <v>26-35</v>
      </c>
      <c r="G55" t="s">
        <v>8</v>
      </c>
      <c r="H55" t="s">
        <v>79</v>
      </c>
      <c r="I55" t="s">
        <v>1192</v>
      </c>
      <c r="J55" t="str">
        <f t="shared" si="2"/>
        <v>rediffmail.com</v>
      </c>
      <c r="K55" t="s">
        <v>1191</v>
      </c>
      <c r="L55" t="s">
        <v>1865</v>
      </c>
      <c r="M55" s="2">
        <v>45312</v>
      </c>
      <c r="N55" t="s">
        <v>1864</v>
      </c>
      <c r="O55" t="s">
        <v>426</v>
      </c>
      <c r="P55">
        <v>369.03</v>
      </c>
      <c r="Q55">
        <v>2</v>
      </c>
      <c r="R55" t="s">
        <v>166</v>
      </c>
      <c r="S55" s="5">
        <v>10</v>
      </c>
      <c r="T55" s="3">
        <v>4</v>
      </c>
      <c r="U55" s="4" t="str">
        <f t="shared" si="3"/>
        <v>Late_Delivery</v>
      </c>
      <c r="V55">
        <v>46</v>
      </c>
      <c r="W55" s="3">
        <f t="shared" si="4"/>
        <v>6</v>
      </c>
      <c r="X55" s="2">
        <v>45318</v>
      </c>
      <c r="Y55" s="1">
        <f>YEAR(Table2[[#This Row],[Delivery_Date]])</f>
        <v>2024</v>
      </c>
      <c r="Z55" s="2" t="str">
        <f t="shared" si="5"/>
        <v>Jan</v>
      </c>
      <c r="AA55" t="s">
        <v>1863</v>
      </c>
      <c r="AB55">
        <f t="shared" si="6"/>
        <v>710.25400000000002</v>
      </c>
      <c r="AC55">
        <f>Table2[[#This Row],[Price]]*Table2[[#This Row],[Quantity]]*Table2[[#This Row],[COUPON %]]/100</f>
        <v>73.805999999999997</v>
      </c>
      <c r="AD55">
        <f t="shared" si="7"/>
        <v>664.25400000000002</v>
      </c>
      <c r="AE55" s="1">
        <f t="shared" si="8"/>
        <v>738.06</v>
      </c>
    </row>
    <row r="56" spans="1:31" x14ac:dyDescent="0.25">
      <c r="A56" t="s">
        <v>1238</v>
      </c>
      <c r="B56" t="str">
        <f t="shared" si="0"/>
        <v xml:space="preserve">John Ramirez </v>
      </c>
      <c r="C56" t="s">
        <v>1163</v>
      </c>
      <c r="D56" t="s">
        <v>1237</v>
      </c>
      <c r="E56">
        <v>28</v>
      </c>
      <c r="F56" t="str">
        <f t="shared" si="1"/>
        <v>26-35</v>
      </c>
      <c r="G56" t="s">
        <v>8</v>
      </c>
      <c r="H56" t="s">
        <v>59</v>
      </c>
      <c r="I56" t="s">
        <v>1236</v>
      </c>
      <c r="J56" t="str">
        <f t="shared" si="2"/>
        <v>outlook.com</v>
      </c>
      <c r="K56" t="s">
        <v>1235</v>
      </c>
      <c r="L56" t="s">
        <v>1862</v>
      </c>
      <c r="M56" s="2">
        <v>45599</v>
      </c>
      <c r="N56" t="s">
        <v>1861</v>
      </c>
      <c r="O56" t="s">
        <v>457</v>
      </c>
      <c r="P56">
        <v>363.64</v>
      </c>
      <c r="Q56">
        <v>1</v>
      </c>
      <c r="R56" t="s">
        <v>166</v>
      </c>
      <c r="S56" s="5">
        <v>10</v>
      </c>
      <c r="T56" s="3">
        <v>3</v>
      </c>
      <c r="U56" s="4" t="str">
        <f t="shared" si="3"/>
        <v>Late_Delivery</v>
      </c>
      <c r="V56">
        <v>70</v>
      </c>
      <c r="W56" s="3">
        <f t="shared" si="4"/>
        <v>7</v>
      </c>
      <c r="X56" s="2">
        <v>45606</v>
      </c>
      <c r="Y56" s="1">
        <f>YEAR(Table2[[#This Row],[Delivery_Date]])</f>
        <v>2024</v>
      </c>
      <c r="Z56" s="2" t="str">
        <f t="shared" si="5"/>
        <v>Nov</v>
      </c>
      <c r="AA56" t="s">
        <v>1860</v>
      </c>
      <c r="AB56">
        <f t="shared" si="6"/>
        <v>397.27600000000001</v>
      </c>
      <c r="AC56">
        <f>Table2[[#This Row],[Price]]*Table2[[#This Row],[Quantity]]*Table2[[#This Row],[COUPON %]]/100</f>
        <v>36.363999999999997</v>
      </c>
      <c r="AD56">
        <f t="shared" si="7"/>
        <v>327.27600000000001</v>
      </c>
      <c r="AE56" s="1">
        <f t="shared" si="8"/>
        <v>363.64</v>
      </c>
    </row>
    <row r="57" spans="1:31" x14ac:dyDescent="0.25">
      <c r="A57" t="s">
        <v>613</v>
      </c>
      <c r="B57" t="str">
        <f t="shared" si="0"/>
        <v xml:space="preserve">Mary Knight </v>
      </c>
      <c r="C57" t="s">
        <v>612</v>
      </c>
      <c r="D57" t="s">
        <v>611</v>
      </c>
      <c r="E57">
        <v>28</v>
      </c>
      <c r="F57" t="str">
        <f t="shared" si="1"/>
        <v>26-35</v>
      </c>
      <c r="G57" t="s">
        <v>8</v>
      </c>
      <c r="H57" t="s">
        <v>28</v>
      </c>
      <c r="I57" t="s">
        <v>610</v>
      </c>
      <c r="J57" t="str">
        <f t="shared" si="2"/>
        <v>yahoo.com</v>
      </c>
      <c r="K57" t="s">
        <v>609</v>
      </c>
      <c r="L57" t="s">
        <v>1859</v>
      </c>
      <c r="M57" s="2">
        <v>45229</v>
      </c>
      <c r="N57" t="s">
        <v>1858</v>
      </c>
      <c r="O57" t="s">
        <v>181</v>
      </c>
      <c r="P57">
        <v>405</v>
      </c>
      <c r="Q57">
        <v>1</v>
      </c>
      <c r="R57" t="s">
        <v>1</v>
      </c>
      <c r="S57" s="5">
        <v>0</v>
      </c>
      <c r="T57" s="3">
        <v>5</v>
      </c>
      <c r="U57" s="4" t="str">
        <f t="shared" si="3"/>
        <v>Before_time</v>
      </c>
      <c r="V57">
        <v>44</v>
      </c>
      <c r="W57" s="3">
        <f t="shared" si="4"/>
        <v>4</v>
      </c>
      <c r="X57" s="2">
        <v>45233</v>
      </c>
      <c r="Y57" s="1">
        <f>YEAR(Table2[[#This Row],[Delivery_Date]])</f>
        <v>2023</v>
      </c>
      <c r="Z57" s="2" t="str">
        <f t="shared" si="5"/>
        <v>Nov</v>
      </c>
      <c r="AA57" t="s">
        <v>1857</v>
      </c>
      <c r="AB57">
        <f t="shared" si="6"/>
        <v>449</v>
      </c>
      <c r="AC57">
        <f>Table2[[#This Row],[Price]]*Table2[[#This Row],[Quantity]]*Table2[[#This Row],[COUPON %]]/100</f>
        <v>0</v>
      </c>
      <c r="AD57">
        <f t="shared" si="7"/>
        <v>405</v>
      </c>
      <c r="AE57" s="1">
        <f t="shared" si="8"/>
        <v>405</v>
      </c>
    </row>
    <row r="58" spans="1:31" x14ac:dyDescent="0.25">
      <c r="A58" t="s">
        <v>854</v>
      </c>
      <c r="B58" t="str">
        <f t="shared" si="0"/>
        <v xml:space="preserve">Marcus Rogers </v>
      </c>
      <c r="C58" t="s">
        <v>853</v>
      </c>
      <c r="D58" t="s">
        <v>852</v>
      </c>
      <c r="E58">
        <v>36</v>
      </c>
      <c r="F58" t="str">
        <f t="shared" si="1"/>
        <v>36-45</v>
      </c>
      <c r="G58" t="s">
        <v>29</v>
      </c>
      <c r="H58" t="s">
        <v>107</v>
      </c>
      <c r="I58" t="s">
        <v>851</v>
      </c>
      <c r="J58" t="str">
        <f t="shared" si="2"/>
        <v>outlook.com</v>
      </c>
      <c r="K58" t="s">
        <v>850</v>
      </c>
      <c r="L58" t="s">
        <v>1856</v>
      </c>
      <c r="M58" s="2">
        <v>45149</v>
      </c>
      <c r="N58" t="s">
        <v>1855</v>
      </c>
      <c r="O58" t="s">
        <v>84</v>
      </c>
      <c r="P58">
        <v>62.42</v>
      </c>
      <c r="Q58">
        <v>2</v>
      </c>
      <c r="R58" t="s">
        <v>93</v>
      </c>
      <c r="S58" s="5">
        <v>15</v>
      </c>
      <c r="T58" s="3">
        <v>1</v>
      </c>
      <c r="U58" s="4" t="str">
        <f t="shared" si="3"/>
        <v>Late_Delivery</v>
      </c>
      <c r="V58">
        <v>53</v>
      </c>
      <c r="W58" s="3">
        <f t="shared" si="4"/>
        <v>5</v>
      </c>
      <c r="X58" s="2">
        <v>45154</v>
      </c>
      <c r="Y58" s="1">
        <f>YEAR(Table2[[#This Row],[Delivery_Date]])</f>
        <v>2023</v>
      </c>
      <c r="Z58" s="2" t="str">
        <f t="shared" si="5"/>
        <v>Aug</v>
      </c>
      <c r="AA58" t="s">
        <v>1854</v>
      </c>
      <c r="AB58">
        <f t="shared" si="6"/>
        <v>159.114</v>
      </c>
      <c r="AC58">
        <f>Table2[[#This Row],[Price]]*Table2[[#This Row],[Quantity]]*Table2[[#This Row],[COUPON %]]/100</f>
        <v>18.726000000000003</v>
      </c>
      <c r="AD58">
        <f t="shared" si="7"/>
        <v>106.114</v>
      </c>
      <c r="AE58" s="1">
        <f t="shared" si="8"/>
        <v>124.84</v>
      </c>
    </row>
    <row r="59" spans="1:31" x14ac:dyDescent="0.25">
      <c r="A59" t="s">
        <v>1716</v>
      </c>
      <c r="B59" t="str">
        <f t="shared" si="0"/>
        <v xml:space="preserve">Brian Kennedy </v>
      </c>
      <c r="C59" t="s">
        <v>1715</v>
      </c>
      <c r="D59" t="s">
        <v>1714</v>
      </c>
      <c r="E59">
        <v>69</v>
      </c>
      <c r="F59" t="str">
        <f t="shared" si="1"/>
        <v>&gt;45</v>
      </c>
      <c r="G59" t="s">
        <v>108</v>
      </c>
      <c r="H59" t="s">
        <v>107</v>
      </c>
      <c r="I59" t="s">
        <v>1713</v>
      </c>
      <c r="J59" t="str">
        <f t="shared" si="2"/>
        <v>outlook.com</v>
      </c>
      <c r="K59" t="s">
        <v>1712</v>
      </c>
      <c r="L59" t="s">
        <v>1853</v>
      </c>
      <c r="M59" s="2">
        <v>45213</v>
      </c>
      <c r="N59" t="s">
        <v>1852</v>
      </c>
      <c r="O59" t="s">
        <v>65</v>
      </c>
      <c r="P59">
        <v>20.7</v>
      </c>
      <c r="Q59">
        <v>5</v>
      </c>
      <c r="R59" t="s">
        <v>93</v>
      </c>
      <c r="S59" s="5">
        <v>15</v>
      </c>
      <c r="T59" s="3">
        <v>7</v>
      </c>
      <c r="U59" s="4" t="str">
        <f t="shared" si="3"/>
        <v>Before_time</v>
      </c>
      <c r="V59">
        <v>57</v>
      </c>
      <c r="W59" s="3">
        <f t="shared" si="4"/>
        <v>5</v>
      </c>
      <c r="X59" s="2">
        <v>45218</v>
      </c>
      <c r="Y59" s="1">
        <f>YEAR(Table2[[#This Row],[Delivery_Date]])</f>
        <v>2023</v>
      </c>
      <c r="Z59" s="2" t="str">
        <f t="shared" si="5"/>
        <v>Oct</v>
      </c>
      <c r="AA59" t="s">
        <v>1851</v>
      </c>
      <c r="AB59">
        <f t="shared" si="6"/>
        <v>144.97499999999999</v>
      </c>
      <c r="AC59">
        <f>Table2[[#This Row],[Price]]*Table2[[#This Row],[Quantity]]*Table2[[#This Row],[COUPON %]]/100</f>
        <v>15.525</v>
      </c>
      <c r="AD59">
        <f t="shared" si="7"/>
        <v>87.974999999999994</v>
      </c>
      <c r="AE59" s="1">
        <f t="shared" si="8"/>
        <v>103.5</v>
      </c>
    </row>
    <row r="60" spans="1:31" x14ac:dyDescent="0.25">
      <c r="A60" t="s">
        <v>945</v>
      </c>
      <c r="B60" t="str">
        <f t="shared" si="0"/>
        <v xml:space="preserve">Rebecca Figueroa </v>
      </c>
      <c r="C60" t="s">
        <v>944</v>
      </c>
      <c r="D60" t="s">
        <v>943</v>
      </c>
      <c r="E60">
        <v>63</v>
      </c>
      <c r="F60" t="str">
        <f t="shared" si="1"/>
        <v>&gt;45</v>
      </c>
      <c r="G60" t="s">
        <v>108</v>
      </c>
      <c r="H60" t="s">
        <v>59</v>
      </c>
      <c r="I60" t="s">
        <v>942</v>
      </c>
      <c r="J60" t="str">
        <f t="shared" si="2"/>
        <v>outlook.com</v>
      </c>
      <c r="K60" t="s">
        <v>941</v>
      </c>
      <c r="L60" t="s">
        <v>1850</v>
      </c>
      <c r="M60" s="2">
        <v>45655</v>
      </c>
      <c r="N60" t="s">
        <v>1849</v>
      </c>
      <c r="O60" t="s">
        <v>457</v>
      </c>
      <c r="P60">
        <v>363.64</v>
      </c>
      <c r="Q60">
        <v>3</v>
      </c>
      <c r="R60" t="s">
        <v>166</v>
      </c>
      <c r="S60" s="5">
        <v>10</v>
      </c>
      <c r="T60" s="3">
        <v>6</v>
      </c>
      <c r="U60" s="4" t="str">
        <f t="shared" si="3"/>
        <v>Late_Delivery</v>
      </c>
      <c r="V60">
        <v>69</v>
      </c>
      <c r="W60" s="3">
        <f t="shared" si="4"/>
        <v>7</v>
      </c>
      <c r="X60" s="2">
        <v>45662</v>
      </c>
      <c r="Y60" s="1">
        <f>YEAR(Table2[[#This Row],[Delivery_Date]])</f>
        <v>2025</v>
      </c>
      <c r="Z60" s="2" t="str">
        <f t="shared" si="5"/>
        <v>Jan</v>
      </c>
      <c r="AA60" t="s">
        <v>1848</v>
      </c>
      <c r="AB60">
        <f t="shared" si="6"/>
        <v>1050.828</v>
      </c>
      <c r="AC60">
        <f>Table2[[#This Row],[Price]]*Table2[[#This Row],[Quantity]]*Table2[[#This Row],[COUPON %]]/100</f>
        <v>109.09200000000001</v>
      </c>
      <c r="AD60">
        <f t="shared" si="7"/>
        <v>981.82800000000009</v>
      </c>
      <c r="AE60" s="1">
        <f t="shared" si="8"/>
        <v>1090.92</v>
      </c>
    </row>
    <row r="61" spans="1:31" x14ac:dyDescent="0.25">
      <c r="A61" t="s">
        <v>179</v>
      </c>
      <c r="B61" t="str">
        <f t="shared" si="0"/>
        <v xml:space="preserve">Lori Cook </v>
      </c>
      <c r="C61" t="s">
        <v>178</v>
      </c>
      <c r="D61" t="s">
        <v>177</v>
      </c>
      <c r="E61">
        <v>18</v>
      </c>
      <c r="F61" t="str">
        <f t="shared" si="1"/>
        <v>0-25</v>
      </c>
      <c r="G61" t="s">
        <v>29</v>
      </c>
      <c r="H61" t="s">
        <v>7</v>
      </c>
      <c r="I61" t="s">
        <v>176</v>
      </c>
      <c r="J61" t="str">
        <f t="shared" si="2"/>
        <v>rediffmail.com</v>
      </c>
      <c r="K61" t="s">
        <v>175</v>
      </c>
      <c r="L61" t="s">
        <v>1847</v>
      </c>
      <c r="M61" s="2">
        <v>44972</v>
      </c>
      <c r="N61" t="s">
        <v>1846</v>
      </c>
      <c r="O61" t="s">
        <v>396</v>
      </c>
      <c r="P61">
        <v>286.07</v>
      </c>
      <c r="Q61">
        <v>3</v>
      </c>
      <c r="R61" t="s">
        <v>64</v>
      </c>
      <c r="S61" s="5">
        <v>20</v>
      </c>
      <c r="T61" s="3">
        <v>2</v>
      </c>
      <c r="U61" s="4" t="str">
        <f t="shared" si="3"/>
        <v>Late_Delivery</v>
      </c>
      <c r="V61">
        <v>54</v>
      </c>
      <c r="W61" s="3">
        <f t="shared" si="4"/>
        <v>5</v>
      </c>
      <c r="X61" s="2">
        <v>44977</v>
      </c>
      <c r="Y61" s="1">
        <f>YEAR(Table2[[#This Row],[Delivery_Date]])</f>
        <v>2023</v>
      </c>
      <c r="Z61" s="2" t="str">
        <f t="shared" si="5"/>
        <v>Feb</v>
      </c>
      <c r="AA61" t="s">
        <v>1845</v>
      </c>
      <c r="AB61">
        <f t="shared" si="6"/>
        <v>740.5680000000001</v>
      </c>
      <c r="AC61">
        <f>Table2[[#This Row],[Price]]*Table2[[#This Row],[Quantity]]*Table2[[#This Row],[COUPON %]]/100</f>
        <v>171.642</v>
      </c>
      <c r="AD61">
        <f t="shared" si="7"/>
        <v>686.5680000000001</v>
      </c>
      <c r="AE61" s="1">
        <f t="shared" si="8"/>
        <v>858.21</v>
      </c>
    </row>
    <row r="62" spans="1:31" x14ac:dyDescent="0.25">
      <c r="A62" t="s">
        <v>231</v>
      </c>
      <c r="B62" t="str">
        <f t="shared" si="0"/>
        <v xml:space="preserve">Debra Hayes </v>
      </c>
      <c r="C62" t="s">
        <v>230</v>
      </c>
      <c r="D62" t="s">
        <v>229</v>
      </c>
      <c r="E62">
        <v>33</v>
      </c>
      <c r="F62" t="str">
        <f t="shared" si="1"/>
        <v>26-35</v>
      </c>
      <c r="G62" t="s">
        <v>108</v>
      </c>
      <c r="H62" t="s">
        <v>79</v>
      </c>
      <c r="I62" t="s">
        <v>228</v>
      </c>
      <c r="J62" t="str">
        <f t="shared" si="2"/>
        <v>yahoo.com</v>
      </c>
      <c r="K62" t="s">
        <v>227</v>
      </c>
      <c r="L62" t="s">
        <v>1844</v>
      </c>
      <c r="M62" s="2">
        <v>45435</v>
      </c>
      <c r="N62" t="s">
        <v>1843</v>
      </c>
      <c r="O62" t="s">
        <v>245</v>
      </c>
      <c r="P62">
        <v>87.09</v>
      </c>
      <c r="Q62">
        <v>4</v>
      </c>
      <c r="R62" t="s">
        <v>1</v>
      </c>
      <c r="S62" s="5">
        <v>0</v>
      </c>
      <c r="T62" s="3">
        <v>6</v>
      </c>
      <c r="U62" s="4" t="str">
        <f t="shared" si="3"/>
        <v>Before_time</v>
      </c>
      <c r="V62">
        <v>63</v>
      </c>
      <c r="W62" s="3">
        <f t="shared" si="4"/>
        <v>4</v>
      </c>
      <c r="X62" s="2">
        <v>45439</v>
      </c>
      <c r="Y62" s="1">
        <f>YEAR(Table2[[#This Row],[Delivery_Date]])</f>
        <v>2024</v>
      </c>
      <c r="Z62" s="2" t="str">
        <f t="shared" si="5"/>
        <v>May</v>
      </c>
      <c r="AA62" t="s">
        <v>1842</v>
      </c>
      <c r="AB62">
        <f t="shared" si="6"/>
        <v>411.36</v>
      </c>
      <c r="AC62">
        <f>Table2[[#This Row],[Price]]*Table2[[#This Row],[Quantity]]*Table2[[#This Row],[COUPON %]]/100</f>
        <v>0</v>
      </c>
      <c r="AD62">
        <f t="shared" si="7"/>
        <v>348.36</v>
      </c>
      <c r="AE62" s="1">
        <f t="shared" si="8"/>
        <v>348.36</v>
      </c>
    </row>
    <row r="63" spans="1:31" x14ac:dyDescent="0.25">
      <c r="A63" t="s">
        <v>91</v>
      </c>
      <c r="B63" t="str">
        <f t="shared" si="0"/>
        <v xml:space="preserve">Brittany Stewart </v>
      </c>
      <c r="C63" t="s">
        <v>90</v>
      </c>
      <c r="D63" t="s">
        <v>89</v>
      </c>
      <c r="E63">
        <v>68</v>
      </c>
      <c r="F63" t="str">
        <f t="shared" si="1"/>
        <v>&gt;45</v>
      </c>
      <c r="G63" t="s">
        <v>8</v>
      </c>
      <c r="H63" t="s">
        <v>18</v>
      </c>
      <c r="I63" t="s">
        <v>88</v>
      </c>
      <c r="J63" t="str">
        <f t="shared" si="2"/>
        <v>gmail.com</v>
      </c>
      <c r="K63" t="s">
        <v>87</v>
      </c>
      <c r="L63" t="s">
        <v>1841</v>
      </c>
      <c r="M63" s="2">
        <v>45002</v>
      </c>
      <c r="N63" t="s">
        <v>200</v>
      </c>
      <c r="O63" t="s">
        <v>729</v>
      </c>
      <c r="P63">
        <v>275.44</v>
      </c>
      <c r="Q63">
        <v>4</v>
      </c>
      <c r="R63" t="s">
        <v>34</v>
      </c>
      <c r="S63" s="5">
        <v>8</v>
      </c>
      <c r="T63" s="3">
        <v>4</v>
      </c>
      <c r="U63" s="4" t="str">
        <f t="shared" si="3"/>
        <v>Late_Delivery</v>
      </c>
      <c r="V63">
        <v>40</v>
      </c>
      <c r="W63" s="3">
        <f t="shared" si="4"/>
        <v>5</v>
      </c>
      <c r="X63" s="2">
        <v>45007</v>
      </c>
      <c r="Y63" s="1">
        <f>YEAR(Table2[[#This Row],[Delivery_Date]])</f>
        <v>2023</v>
      </c>
      <c r="Z63" s="2" t="str">
        <f t="shared" si="5"/>
        <v>Mar</v>
      </c>
      <c r="AA63" t="s">
        <v>1840</v>
      </c>
      <c r="AB63">
        <f t="shared" si="6"/>
        <v>1053.6192000000001</v>
      </c>
      <c r="AC63">
        <f>Table2[[#This Row],[Price]]*Table2[[#This Row],[Quantity]]*Table2[[#This Row],[COUPON %]]/100</f>
        <v>88.140799999999999</v>
      </c>
      <c r="AD63">
        <f t="shared" si="7"/>
        <v>1013.6192000000001</v>
      </c>
      <c r="AE63" s="1">
        <f t="shared" si="8"/>
        <v>1101.76</v>
      </c>
    </row>
    <row r="64" spans="1:31" x14ac:dyDescent="0.25">
      <c r="A64" t="s">
        <v>1092</v>
      </c>
      <c r="B64" t="str">
        <f t="shared" si="0"/>
        <v xml:space="preserve">Mitchell Parker </v>
      </c>
      <c r="C64" t="s">
        <v>162</v>
      </c>
      <c r="D64" t="s">
        <v>145</v>
      </c>
      <c r="E64">
        <v>39</v>
      </c>
      <c r="F64" t="str">
        <f t="shared" si="1"/>
        <v>36-45</v>
      </c>
      <c r="G64" t="s">
        <v>8</v>
      </c>
      <c r="H64" t="s">
        <v>7</v>
      </c>
      <c r="I64" t="s">
        <v>1091</v>
      </c>
      <c r="J64" t="str">
        <f t="shared" si="2"/>
        <v>yahoo.com</v>
      </c>
      <c r="K64" t="s">
        <v>1090</v>
      </c>
      <c r="L64" t="s">
        <v>1839</v>
      </c>
      <c r="M64" s="2">
        <v>45680</v>
      </c>
      <c r="N64" t="s">
        <v>1838</v>
      </c>
      <c r="O64" t="s">
        <v>667</v>
      </c>
      <c r="P64">
        <v>421.7</v>
      </c>
      <c r="Q64">
        <v>1</v>
      </c>
      <c r="R64" t="s">
        <v>166</v>
      </c>
      <c r="S64" s="5">
        <v>10</v>
      </c>
      <c r="T64" s="3">
        <v>3</v>
      </c>
      <c r="U64" s="4" t="str">
        <f t="shared" si="3"/>
        <v>Late_Delivery</v>
      </c>
      <c r="V64">
        <v>59</v>
      </c>
      <c r="W64" s="3">
        <f t="shared" si="4"/>
        <v>4</v>
      </c>
      <c r="X64" s="2">
        <v>45684</v>
      </c>
      <c r="Y64" s="1">
        <f>YEAR(Table2[[#This Row],[Delivery_Date]])</f>
        <v>2025</v>
      </c>
      <c r="Z64" s="2" t="str">
        <f t="shared" si="5"/>
        <v>Jan</v>
      </c>
      <c r="AA64" t="s">
        <v>1837</v>
      </c>
      <c r="AB64">
        <f t="shared" si="6"/>
        <v>438.53</v>
      </c>
      <c r="AC64">
        <f>Table2[[#This Row],[Price]]*Table2[[#This Row],[Quantity]]*Table2[[#This Row],[COUPON %]]/100</f>
        <v>42.17</v>
      </c>
      <c r="AD64">
        <f t="shared" si="7"/>
        <v>379.53</v>
      </c>
      <c r="AE64" s="1">
        <f t="shared" si="8"/>
        <v>421.7</v>
      </c>
    </row>
    <row r="65" spans="1:31" x14ac:dyDescent="0.25">
      <c r="A65" t="s">
        <v>1164</v>
      </c>
      <c r="B65" t="str">
        <f t="shared" si="0"/>
        <v xml:space="preserve">John Herrera </v>
      </c>
      <c r="C65" t="s">
        <v>1163</v>
      </c>
      <c r="D65" t="s">
        <v>1162</v>
      </c>
      <c r="E65">
        <v>64</v>
      </c>
      <c r="F65" t="str">
        <f t="shared" si="1"/>
        <v>&gt;45</v>
      </c>
      <c r="G65" t="s">
        <v>29</v>
      </c>
      <c r="H65" t="s">
        <v>7</v>
      </c>
      <c r="I65" t="s">
        <v>1161</v>
      </c>
      <c r="J65" t="str">
        <f t="shared" si="2"/>
        <v>outlook.com</v>
      </c>
      <c r="K65" t="s">
        <v>1160</v>
      </c>
      <c r="L65" t="s">
        <v>1836</v>
      </c>
      <c r="M65" s="2">
        <v>45629</v>
      </c>
      <c r="N65" t="s">
        <v>1835</v>
      </c>
      <c r="O65" t="s">
        <v>23</v>
      </c>
      <c r="P65">
        <v>272.51</v>
      </c>
      <c r="Q65">
        <v>1</v>
      </c>
      <c r="R65" t="s">
        <v>64</v>
      </c>
      <c r="S65" s="5">
        <v>20</v>
      </c>
      <c r="T65" s="3">
        <v>4</v>
      </c>
      <c r="U65" s="4" t="str">
        <f t="shared" si="3"/>
        <v>Before_time</v>
      </c>
      <c r="V65">
        <v>43</v>
      </c>
      <c r="W65" s="3">
        <f t="shared" si="4"/>
        <v>1</v>
      </c>
      <c r="X65" s="2">
        <v>45630</v>
      </c>
      <c r="Y65" s="1">
        <f>YEAR(Table2[[#This Row],[Delivery_Date]])</f>
        <v>2024</v>
      </c>
      <c r="Z65" s="2" t="str">
        <f t="shared" si="5"/>
        <v>Dec</v>
      </c>
      <c r="AA65" t="s">
        <v>1834</v>
      </c>
      <c r="AB65">
        <f t="shared" si="6"/>
        <v>261.00800000000004</v>
      </c>
      <c r="AC65">
        <f>Table2[[#This Row],[Price]]*Table2[[#This Row],[Quantity]]*Table2[[#This Row],[COUPON %]]/100</f>
        <v>54.501999999999995</v>
      </c>
      <c r="AD65">
        <f t="shared" si="7"/>
        <v>218.00800000000001</v>
      </c>
      <c r="AE65" s="1">
        <f t="shared" si="8"/>
        <v>272.51</v>
      </c>
    </row>
    <row r="66" spans="1:31" x14ac:dyDescent="0.25">
      <c r="A66" t="s">
        <v>817</v>
      </c>
      <c r="B66" t="str">
        <f t="shared" ref="B66:B129" si="9">CONCATENATE(C66," ", D66," ")</f>
        <v xml:space="preserve">Sharon Thompson </v>
      </c>
      <c r="C66" t="s">
        <v>816</v>
      </c>
      <c r="D66" t="s">
        <v>119</v>
      </c>
      <c r="E66">
        <v>57</v>
      </c>
      <c r="F66" t="str">
        <f t="shared" ref="F66:F129" si="10">IF(E66&lt;=25,"0-25",IF(E66&lt;=35,"26-35",IF(E66&lt;=45,"36-45","&gt;45")))</f>
        <v>&gt;45</v>
      </c>
      <c r="G66" t="s">
        <v>29</v>
      </c>
      <c r="H66" t="s">
        <v>18</v>
      </c>
      <c r="I66" t="s">
        <v>815</v>
      </c>
      <c r="J66" t="str">
        <f t="shared" ref="J66:J129" si="11">MID(I66,FIND("@",I66)+1,100)</f>
        <v>yahoo.com</v>
      </c>
      <c r="K66" t="s">
        <v>814</v>
      </c>
      <c r="L66" t="s">
        <v>1833</v>
      </c>
      <c r="M66" s="2">
        <v>45346</v>
      </c>
      <c r="N66" t="s">
        <v>1832</v>
      </c>
      <c r="O66" t="s">
        <v>714</v>
      </c>
      <c r="P66">
        <v>175.93</v>
      </c>
      <c r="Q66">
        <v>3</v>
      </c>
      <c r="R66" t="s">
        <v>34</v>
      </c>
      <c r="S66" s="5">
        <v>8</v>
      </c>
      <c r="T66" s="3">
        <v>4</v>
      </c>
      <c r="U66" s="4" t="str">
        <f t="shared" ref="U66:U129" si="12">IF(W66&lt;T66,"Before_time",IF(W66&gt;T66,"Late_Delivery","On_time"))</f>
        <v>Late_Delivery</v>
      </c>
      <c r="V66">
        <v>46</v>
      </c>
      <c r="W66" s="3">
        <f t="shared" ref="W66:W129" si="13">DATEDIF(M66,X66,"D")</f>
        <v>5</v>
      </c>
      <c r="X66" s="2">
        <v>45351</v>
      </c>
      <c r="Y66" s="1">
        <f>YEAR(Table2[[#This Row],[Delivery_Date]])</f>
        <v>2024</v>
      </c>
      <c r="Z66" s="2" t="str">
        <f t="shared" ref="Z66:Z129" si="14">TEXT(X66,"mmm")</f>
        <v>Feb</v>
      </c>
      <c r="AA66" t="s">
        <v>1831</v>
      </c>
      <c r="AB66">
        <f t="shared" ref="AB66:AB129" si="15">AD66+V66</f>
        <v>531.56680000000006</v>
      </c>
      <c r="AC66">
        <f>Table2[[#This Row],[Price]]*Table2[[#This Row],[Quantity]]*Table2[[#This Row],[COUPON %]]/100</f>
        <v>42.223199999999999</v>
      </c>
      <c r="AD66">
        <f t="shared" ref="AD66:AD129" si="16">P66*Q66*(1-S66/100)</f>
        <v>485.5668</v>
      </c>
      <c r="AE66" s="1">
        <f t="shared" ref="AE66:AE129" si="17">P66*Q66</f>
        <v>527.79</v>
      </c>
    </row>
    <row r="67" spans="1:31" x14ac:dyDescent="0.25">
      <c r="A67" t="s">
        <v>557</v>
      </c>
      <c r="B67" t="str">
        <f t="shared" si="9"/>
        <v xml:space="preserve">Sarah Butler </v>
      </c>
      <c r="C67" t="s">
        <v>556</v>
      </c>
      <c r="D67" t="s">
        <v>555</v>
      </c>
      <c r="E67">
        <v>64</v>
      </c>
      <c r="F67" t="str">
        <f t="shared" si="10"/>
        <v>&gt;45</v>
      </c>
      <c r="G67" t="s">
        <v>108</v>
      </c>
      <c r="H67" t="s">
        <v>107</v>
      </c>
      <c r="I67" t="s">
        <v>554</v>
      </c>
      <c r="J67" t="str">
        <f t="shared" si="11"/>
        <v>rediffmail.com</v>
      </c>
      <c r="K67" t="s">
        <v>553</v>
      </c>
      <c r="L67" t="s">
        <v>1830</v>
      </c>
      <c r="M67" s="2">
        <v>45503</v>
      </c>
      <c r="N67" t="s">
        <v>1829</v>
      </c>
      <c r="O67" t="s">
        <v>519</v>
      </c>
      <c r="P67">
        <v>136.30000000000001</v>
      </c>
      <c r="Q67">
        <v>5</v>
      </c>
      <c r="R67" t="s">
        <v>93</v>
      </c>
      <c r="S67" s="5">
        <v>15</v>
      </c>
      <c r="T67" s="3">
        <v>6</v>
      </c>
      <c r="U67" s="4" t="str">
        <f t="shared" si="12"/>
        <v>Late_Delivery</v>
      </c>
      <c r="V67">
        <v>39</v>
      </c>
      <c r="W67" s="3">
        <f t="shared" si="13"/>
        <v>7</v>
      </c>
      <c r="X67" s="2">
        <v>45510</v>
      </c>
      <c r="Y67" s="1">
        <f>YEAR(Table2[[#This Row],[Delivery_Date]])</f>
        <v>2024</v>
      </c>
      <c r="Z67" s="2" t="str">
        <f t="shared" si="14"/>
        <v>Aug</v>
      </c>
      <c r="AA67" t="s">
        <v>1828</v>
      </c>
      <c r="AB67">
        <f t="shared" si="15"/>
        <v>618.27499999999998</v>
      </c>
      <c r="AC67">
        <f>Table2[[#This Row],[Price]]*Table2[[#This Row],[Quantity]]*Table2[[#This Row],[COUPON %]]/100</f>
        <v>102.22499999999999</v>
      </c>
      <c r="AD67">
        <f t="shared" si="16"/>
        <v>579.27499999999998</v>
      </c>
      <c r="AE67" s="1">
        <f t="shared" si="17"/>
        <v>681.5</v>
      </c>
    </row>
    <row r="68" spans="1:31" x14ac:dyDescent="0.25">
      <c r="A68" t="s">
        <v>937</v>
      </c>
      <c r="B68" t="str">
        <f t="shared" si="9"/>
        <v xml:space="preserve">Ashley Rose </v>
      </c>
      <c r="C68" t="s">
        <v>110</v>
      </c>
      <c r="D68" t="s">
        <v>936</v>
      </c>
      <c r="E68">
        <v>60</v>
      </c>
      <c r="F68" t="str">
        <f t="shared" si="10"/>
        <v>&gt;45</v>
      </c>
      <c r="G68" t="s">
        <v>8</v>
      </c>
      <c r="H68" t="s">
        <v>107</v>
      </c>
      <c r="I68" t="s">
        <v>935</v>
      </c>
      <c r="J68" t="str">
        <f t="shared" si="11"/>
        <v>gmail.com</v>
      </c>
      <c r="K68" t="s">
        <v>934</v>
      </c>
      <c r="L68" t="s">
        <v>1827</v>
      </c>
      <c r="M68" s="2">
        <v>45451</v>
      </c>
      <c r="N68" t="s">
        <v>1826</v>
      </c>
      <c r="O68" t="s">
        <v>113</v>
      </c>
      <c r="P68">
        <v>441.03</v>
      </c>
      <c r="Q68">
        <v>2</v>
      </c>
      <c r="R68" t="s">
        <v>166</v>
      </c>
      <c r="S68" s="5">
        <v>10</v>
      </c>
      <c r="T68" s="3">
        <v>3</v>
      </c>
      <c r="U68" s="4" t="str">
        <f t="shared" si="12"/>
        <v>Late_Delivery</v>
      </c>
      <c r="V68">
        <v>49</v>
      </c>
      <c r="W68" s="3">
        <f t="shared" si="13"/>
        <v>7</v>
      </c>
      <c r="X68" s="2">
        <v>45458</v>
      </c>
      <c r="Y68" s="1">
        <f>YEAR(Table2[[#This Row],[Delivery_Date]])</f>
        <v>2024</v>
      </c>
      <c r="Z68" s="2" t="str">
        <f t="shared" si="14"/>
        <v>Jun</v>
      </c>
      <c r="AA68" t="s">
        <v>1825</v>
      </c>
      <c r="AB68">
        <f t="shared" si="15"/>
        <v>842.85399999999993</v>
      </c>
      <c r="AC68">
        <f>Table2[[#This Row],[Price]]*Table2[[#This Row],[Quantity]]*Table2[[#This Row],[COUPON %]]/100</f>
        <v>88.205999999999989</v>
      </c>
      <c r="AD68">
        <f t="shared" si="16"/>
        <v>793.85399999999993</v>
      </c>
      <c r="AE68" s="1">
        <f t="shared" si="17"/>
        <v>882.06</v>
      </c>
    </row>
    <row r="69" spans="1:31" x14ac:dyDescent="0.25">
      <c r="A69" t="s">
        <v>510</v>
      </c>
      <c r="B69" t="str">
        <f t="shared" si="9"/>
        <v xml:space="preserve">Katherine Weber </v>
      </c>
      <c r="C69" t="s">
        <v>509</v>
      </c>
      <c r="D69" t="s">
        <v>508</v>
      </c>
      <c r="E69">
        <v>42</v>
      </c>
      <c r="F69" t="str">
        <f t="shared" si="10"/>
        <v>36-45</v>
      </c>
      <c r="G69" t="s">
        <v>8</v>
      </c>
      <c r="H69" t="s">
        <v>28</v>
      </c>
      <c r="I69" t="s">
        <v>507</v>
      </c>
      <c r="J69" t="str">
        <f t="shared" si="11"/>
        <v>outlook.com</v>
      </c>
      <c r="K69" t="s">
        <v>506</v>
      </c>
      <c r="L69" t="s">
        <v>1824</v>
      </c>
      <c r="M69" s="2">
        <v>45322</v>
      </c>
      <c r="N69" t="s">
        <v>1823</v>
      </c>
      <c r="O69" t="s">
        <v>426</v>
      </c>
      <c r="P69">
        <v>369.03</v>
      </c>
      <c r="Q69">
        <v>4</v>
      </c>
      <c r="R69" t="s">
        <v>64</v>
      </c>
      <c r="S69" s="5">
        <v>20</v>
      </c>
      <c r="T69" s="3">
        <v>7</v>
      </c>
      <c r="U69" s="4" t="str">
        <f t="shared" si="12"/>
        <v>Before_time</v>
      </c>
      <c r="V69">
        <v>52</v>
      </c>
      <c r="W69" s="3">
        <f t="shared" si="13"/>
        <v>5</v>
      </c>
      <c r="X69" s="2">
        <v>45327</v>
      </c>
      <c r="Y69" s="1">
        <f>YEAR(Table2[[#This Row],[Delivery_Date]])</f>
        <v>2024</v>
      </c>
      <c r="Z69" s="2" t="str">
        <f t="shared" si="14"/>
        <v>Feb</v>
      </c>
      <c r="AA69" t="s">
        <v>1822</v>
      </c>
      <c r="AB69">
        <f t="shared" si="15"/>
        <v>1232.896</v>
      </c>
      <c r="AC69">
        <f>Table2[[#This Row],[Price]]*Table2[[#This Row],[Quantity]]*Table2[[#This Row],[COUPON %]]/100</f>
        <v>295.22399999999999</v>
      </c>
      <c r="AD69">
        <f t="shared" si="16"/>
        <v>1180.896</v>
      </c>
      <c r="AE69" s="1">
        <f t="shared" si="17"/>
        <v>1476.12</v>
      </c>
    </row>
    <row r="70" spans="1:31" x14ac:dyDescent="0.25">
      <c r="A70" t="s">
        <v>1368</v>
      </c>
      <c r="B70" t="str">
        <f t="shared" si="9"/>
        <v xml:space="preserve">Jason Nguyen </v>
      </c>
      <c r="C70" t="s">
        <v>629</v>
      </c>
      <c r="D70" t="s">
        <v>1367</v>
      </c>
      <c r="E70">
        <v>51</v>
      </c>
      <c r="F70" t="str">
        <f t="shared" si="10"/>
        <v>&gt;45</v>
      </c>
      <c r="G70" t="s">
        <v>8</v>
      </c>
      <c r="H70" t="s">
        <v>59</v>
      </c>
      <c r="I70" t="s">
        <v>1366</v>
      </c>
      <c r="J70" t="str">
        <f t="shared" si="11"/>
        <v>yahoo.com</v>
      </c>
      <c r="K70" t="s">
        <v>1365</v>
      </c>
      <c r="L70" t="s">
        <v>1821</v>
      </c>
      <c r="M70" s="2">
        <v>45277</v>
      </c>
      <c r="N70" t="s">
        <v>1820</v>
      </c>
      <c r="O70" t="s">
        <v>264</v>
      </c>
      <c r="P70">
        <v>496.59</v>
      </c>
      <c r="Q70">
        <v>4</v>
      </c>
      <c r="R70" t="s">
        <v>93</v>
      </c>
      <c r="S70" s="5">
        <v>15</v>
      </c>
      <c r="T70" s="3">
        <v>7</v>
      </c>
      <c r="U70" s="4" t="str">
        <f t="shared" si="12"/>
        <v>Before_time</v>
      </c>
      <c r="V70">
        <v>36</v>
      </c>
      <c r="W70" s="3">
        <f t="shared" si="13"/>
        <v>3</v>
      </c>
      <c r="X70" s="2">
        <v>45280</v>
      </c>
      <c r="Y70" s="1">
        <f>YEAR(Table2[[#This Row],[Delivery_Date]])</f>
        <v>2023</v>
      </c>
      <c r="Z70" s="2" t="str">
        <f t="shared" si="14"/>
        <v>Dec</v>
      </c>
      <c r="AA70" t="s">
        <v>1819</v>
      </c>
      <c r="AB70">
        <f t="shared" si="15"/>
        <v>1724.4059999999999</v>
      </c>
      <c r="AC70">
        <f>Table2[[#This Row],[Price]]*Table2[[#This Row],[Quantity]]*Table2[[#This Row],[COUPON %]]/100</f>
        <v>297.95399999999995</v>
      </c>
      <c r="AD70">
        <f t="shared" si="16"/>
        <v>1688.4059999999999</v>
      </c>
      <c r="AE70" s="1">
        <f t="shared" si="17"/>
        <v>1986.36</v>
      </c>
    </row>
    <row r="71" spans="1:31" x14ac:dyDescent="0.25">
      <c r="A71" t="s">
        <v>753</v>
      </c>
      <c r="B71" t="str">
        <f t="shared" si="9"/>
        <v xml:space="preserve">Brandon Cruz </v>
      </c>
      <c r="C71" t="s">
        <v>752</v>
      </c>
      <c r="D71" t="s">
        <v>751</v>
      </c>
      <c r="E71">
        <v>32</v>
      </c>
      <c r="F71" t="str">
        <f t="shared" si="10"/>
        <v>26-35</v>
      </c>
      <c r="G71" t="s">
        <v>8</v>
      </c>
      <c r="H71" t="s">
        <v>118</v>
      </c>
      <c r="I71" t="s">
        <v>750</v>
      </c>
      <c r="J71" t="str">
        <f t="shared" si="11"/>
        <v>gmail.com</v>
      </c>
      <c r="K71" t="s">
        <v>749</v>
      </c>
      <c r="L71" t="s">
        <v>1818</v>
      </c>
      <c r="M71" s="2">
        <v>45586</v>
      </c>
      <c r="N71" t="s">
        <v>1817</v>
      </c>
      <c r="O71" t="s">
        <v>264</v>
      </c>
      <c r="P71">
        <v>496.59</v>
      </c>
      <c r="Q71">
        <v>2</v>
      </c>
      <c r="R71" t="s">
        <v>34</v>
      </c>
      <c r="S71" s="5">
        <v>8</v>
      </c>
      <c r="T71" s="3">
        <v>5</v>
      </c>
      <c r="U71" s="4" t="str">
        <f t="shared" si="12"/>
        <v>Before_time</v>
      </c>
      <c r="V71">
        <v>41</v>
      </c>
      <c r="W71" s="3">
        <f t="shared" si="13"/>
        <v>2</v>
      </c>
      <c r="X71" s="2">
        <v>45588</v>
      </c>
      <c r="Y71" s="1">
        <f>YEAR(Table2[[#This Row],[Delivery_Date]])</f>
        <v>2024</v>
      </c>
      <c r="Z71" s="2" t="str">
        <f t="shared" si="14"/>
        <v>Oct</v>
      </c>
      <c r="AA71" t="s">
        <v>1816</v>
      </c>
      <c r="AB71">
        <f t="shared" si="15"/>
        <v>954.72559999999999</v>
      </c>
      <c r="AC71">
        <f>Table2[[#This Row],[Price]]*Table2[[#This Row],[Quantity]]*Table2[[#This Row],[COUPON %]]/100</f>
        <v>79.454399999999993</v>
      </c>
      <c r="AD71">
        <f t="shared" si="16"/>
        <v>913.72559999999999</v>
      </c>
      <c r="AE71" s="1">
        <f t="shared" si="17"/>
        <v>993.18</v>
      </c>
    </row>
    <row r="72" spans="1:31" x14ac:dyDescent="0.25">
      <c r="A72" t="s">
        <v>1311</v>
      </c>
      <c r="B72" t="str">
        <f t="shared" si="9"/>
        <v xml:space="preserve">Anne Oconnell </v>
      </c>
      <c r="C72" t="s">
        <v>1310</v>
      </c>
      <c r="D72" t="s">
        <v>1309</v>
      </c>
      <c r="E72">
        <v>37</v>
      </c>
      <c r="F72" t="str">
        <f t="shared" si="10"/>
        <v>36-45</v>
      </c>
      <c r="G72" t="s">
        <v>108</v>
      </c>
      <c r="H72" t="s">
        <v>107</v>
      </c>
      <c r="I72" t="s">
        <v>1308</v>
      </c>
      <c r="J72" t="str">
        <f t="shared" si="11"/>
        <v>outlook.com</v>
      </c>
      <c r="K72" t="s">
        <v>1307</v>
      </c>
      <c r="L72" t="s">
        <v>1815</v>
      </c>
      <c r="M72" s="2">
        <v>45567</v>
      </c>
      <c r="N72" t="s">
        <v>1814</v>
      </c>
      <c r="O72" t="s">
        <v>140</v>
      </c>
      <c r="P72">
        <v>308.88</v>
      </c>
      <c r="Q72">
        <v>1</v>
      </c>
      <c r="R72" t="s">
        <v>1</v>
      </c>
      <c r="S72" s="5">
        <v>0</v>
      </c>
      <c r="T72" s="3">
        <v>6</v>
      </c>
      <c r="U72" s="4" t="str">
        <f t="shared" si="12"/>
        <v>Before_time</v>
      </c>
      <c r="V72">
        <v>62</v>
      </c>
      <c r="W72" s="3">
        <f t="shared" si="13"/>
        <v>2</v>
      </c>
      <c r="X72" s="2">
        <v>45569</v>
      </c>
      <c r="Y72" s="1">
        <f>YEAR(Table2[[#This Row],[Delivery_Date]])</f>
        <v>2024</v>
      </c>
      <c r="Z72" s="2" t="str">
        <f t="shared" si="14"/>
        <v>Oct</v>
      </c>
      <c r="AA72" t="s">
        <v>1813</v>
      </c>
      <c r="AB72">
        <f t="shared" si="15"/>
        <v>370.88</v>
      </c>
      <c r="AC72">
        <f>Table2[[#This Row],[Price]]*Table2[[#This Row],[Quantity]]*Table2[[#This Row],[COUPON %]]/100</f>
        <v>0</v>
      </c>
      <c r="AD72">
        <f t="shared" si="16"/>
        <v>308.88</v>
      </c>
      <c r="AE72" s="1">
        <f t="shared" si="17"/>
        <v>308.88</v>
      </c>
    </row>
    <row r="73" spans="1:31" x14ac:dyDescent="0.25">
      <c r="A73" t="s">
        <v>433</v>
      </c>
      <c r="B73" t="str">
        <f t="shared" si="9"/>
        <v xml:space="preserve">Jodi Whitney </v>
      </c>
      <c r="C73" t="s">
        <v>432</v>
      </c>
      <c r="D73" t="s">
        <v>431</v>
      </c>
      <c r="E73">
        <v>33</v>
      </c>
      <c r="F73" t="str">
        <f t="shared" si="10"/>
        <v>26-35</v>
      </c>
      <c r="G73" t="s">
        <v>8</v>
      </c>
      <c r="H73" t="s">
        <v>79</v>
      </c>
      <c r="I73" t="s">
        <v>430</v>
      </c>
      <c r="J73" t="str">
        <f t="shared" si="11"/>
        <v>yahoo.com</v>
      </c>
      <c r="K73" t="s">
        <v>429</v>
      </c>
      <c r="L73" t="s">
        <v>1812</v>
      </c>
      <c r="M73" s="2">
        <v>45495</v>
      </c>
      <c r="N73" t="s">
        <v>1811</v>
      </c>
      <c r="O73" t="s">
        <v>494</v>
      </c>
      <c r="P73">
        <v>425.59</v>
      </c>
      <c r="Q73">
        <v>4</v>
      </c>
      <c r="R73" t="s">
        <v>1</v>
      </c>
      <c r="S73" s="5">
        <v>0</v>
      </c>
      <c r="T73" s="3">
        <v>6</v>
      </c>
      <c r="U73" s="4" t="str">
        <f t="shared" si="12"/>
        <v>Before_time</v>
      </c>
      <c r="V73">
        <v>53</v>
      </c>
      <c r="W73" s="3">
        <f t="shared" si="13"/>
        <v>1</v>
      </c>
      <c r="X73" s="2">
        <v>45496</v>
      </c>
      <c r="Y73" s="1">
        <f>YEAR(Table2[[#This Row],[Delivery_Date]])</f>
        <v>2024</v>
      </c>
      <c r="Z73" s="2" t="str">
        <f t="shared" si="14"/>
        <v>Jul</v>
      </c>
      <c r="AA73" t="s">
        <v>1810</v>
      </c>
      <c r="AB73">
        <f t="shared" si="15"/>
        <v>1755.36</v>
      </c>
      <c r="AC73">
        <f>Table2[[#This Row],[Price]]*Table2[[#This Row],[Quantity]]*Table2[[#This Row],[COUPON %]]/100</f>
        <v>0</v>
      </c>
      <c r="AD73">
        <f t="shared" si="16"/>
        <v>1702.36</v>
      </c>
      <c r="AE73" s="1">
        <f t="shared" si="17"/>
        <v>1702.36</v>
      </c>
    </row>
    <row r="74" spans="1:31" x14ac:dyDescent="0.25">
      <c r="A74" t="s">
        <v>52</v>
      </c>
      <c r="B74" t="str">
        <f t="shared" si="9"/>
        <v xml:space="preserve">Mark Henderson </v>
      </c>
      <c r="C74" t="s">
        <v>51</v>
      </c>
      <c r="D74" t="s">
        <v>50</v>
      </c>
      <c r="E74">
        <v>33</v>
      </c>
      <c r="F74" t="str">
        <f t="shared" si="10"/>
        <v>26-35</v>
      </c>
      <c r="G74" t="s">
        <v>8</v>
      </c>
      <c r="H74" t="s">
        <v>18</v>
      </c>
      <c r="I74" t="s">
        <v>49</v>
      </c>
      <c r="J74" t="str">
        <f t="shared" si="11"/>
        <v>yahoo.com</v>
      </c>
      <c r="K74" t="s">
        <v>48</v>
      </c>
      <c r="L74" t="s">
        <v>1809</v>
      </c>
      <c r="M74" s="2">
        <v>45355</v>
      </c>
      <c r="N74" t="s">
        <v>1808</v>
      </c>
      <c r="O74" t="s">
        <v>140</v>
      </c>
      <c r="P74">
        <v>308.88</v>
      </c>
      <c r="Q74">
        <v>1</v>
      </c>
      <c r="R74" t="s">
        <v>166</v>
      </c>
      <c r="S74" s="5">
        <v>10</v>
      </c>
      <c r="T74" s="3">
        <v>1</v>
      </c>
      <c r="U74" s="4" t="str">
        <f t="shared" si="12"/>
        <v>Late_Delivery</v>
      </c>
      <c r="V74">
        <v>56</v>
      </c>
      <c r="W74" s="3">
        <f t="shared" si="13"/>
        <v>5</v>
      </c>
      <c r="X74" s="2">
        <v>45360</v>
      </c>
      <c r="Y74" s="1">
        <f>YEAR(Table2[[#This Row],[Delivery_Date]])</f>
        <v>2024</v>
      </c>
      <c r="Z74" s="2" t="str">
        <f t="shared" si="14"/>
        <v>Mar</v>
      </c>
      <c r="AA74" t="s">
        <v>1807</v>
      </c>
      <c r="AB74">
        <f t="shared" si="15"/>
        <v>333.99200000000002</v>
      </c>
      <c r="AC74">
        <f>Table2[[#This Row],[Price]]*Table2[[#This Row],[Quantity]]*Table2[[#This Row],[COUPON %]]/100</f>
        <v>30.888000000000002</v>
      </c>
      <c r="AD74">
        <f t="shared" si="16"/>
        <v>277.99200000000002</v>
      </c>
      <c r="AE74" s="1">
        <f t="shared" si="17"/>
        <v>308.88</v>
      </c>
    </row>
    <row r="75" spans="1:31" x14ac:dyDescent="0.25">
      <c r="A75" t="s">
        <v>1716</v>
      </c>
      <c r="B75" t="str">
        <f t="shared" si="9"/>
        <v xml:space="preserve">Brian Kennedy </v>
      </c>
      <c r="C75" t="s">
        <v>1715</v>
      </c>
      <c r="D75" t="s">
        <v>1714</v>
      </c>
      <c r="E75">
        <v>69</v>
      </c>
      <c r="F75" t="str">
        <f t="shared" si="10"/>
        <v>&gt;45</v>
      </c>
      <c r="G75" t="s">
        <v>108</v>
      </c>
      <c r="H75" t="s">
        <v>107</v>
      </c>
      <c r="I75" t="s">
        <v>1713</v>
      </c>
      <c r="J75" t="str">
        <f t="shared" si="11"/>
        <v>outlook.com</v>
      </c>
      <c r="K75" t="s">
        <v>1712</v>
      </c>
      <c r="L75" t="s">
        <v>1806</v>
      </c>
      <c r="M75" s="2">
        <v>45132</v>
      </c>
      <c r="N75" t="s">
        <v>1805</v>
      </c>
      <c r="O75" t="s">
        <v>303</v>
      </c>
      <c r="P75">
        <v>431.44</v>
      </c>
      <c r="Q75">
        <v>5</v>
      </c>
      <c r="R75" t="s">
        <v>93</v>
      </c>
      <c r="S75" s="5">
        <v>15</v>
      </c>
      <c r="T75" s="3">
        <v>6</v>
      </c>
      <c r="U75" s="4" t="str">
        <f t="shared" si="12"/>
        <v>Late_Delivery</v>
      </c>
      <c r="V75">
        <v>59</v>
      </c>
      <c r="W75" s="3">
        <f t="shared" si="13"/>
        <v>7</v>
      </c>
      <c r="X75" s="2">
        <v>45139</v>
      </c>
      <c r="Y75" s="1">
        <f>YEAR(Table2[[#This Row],[Delivery_Date]])</f>
        <v>2023</v>
      </c>
      <c r="Z75" s="2" t="str">
        <f t="shared" si="14"/>
        <v>Aug</v>
      </c>
      <c r="AA75" t="s">
        <v>1804</v>
      </c>
      <c r="AB75">
        <f t="shared" si="15"/>
        <v>1892.62</v>
      </c>
      <c r="AC75">
        <f>Table2[[#This Row],[Price]]*Table2[[#This Row],[Quantity]]*Table2[[#This Row],[COUPON %]]/100</f>
        <v>323.58</v>
      </c>
      <c r="AD75">
        <f t="shared" si="16"/>
        <v>1833.62</v>
      </c>
      <c r="AE75" s="1">
        <f t="shared" si="17"/>
        <v>2157.1999999999998</v>
      </c>
    </row>
    <row r="76" spans="1:31" x14ac:dyDescent="0.25">
      <c r="A76" t="s">
        <v>1716</v>
      </c>
      <c r="B76" t="str">
        <f t="shared" si="9"/>
        <v xml:space="preserve">Brian Kennedy </v>
      </c>
      <c r="C76" t="s">
        <v>1715</v>
      </c>
      <c r="D76" t="s">
        <v>1714</v>
      </c>
      <c r="E76">
        <v>69</v>
      </c>
      <c r="F76" t="str">
        <f t="shared" si="10"/>
        <v>&gt;45</v>
      </c>
      <c r="G76" t="s">
        <v>108</v>
      </c>
      <c r="H76" t="s">
        <v>107</v>
      </c>
      <c r="I76" t="s">
        <v>1713</v>
      </c>
      <c r="J76" t="str">
        <f t="shared" si="11"/>
        <v>outlook.com</v>
      </c>
      <c r="K76" t="s">
        <v>1712</v>
      </c>
      <c r="L76" t="s">
        <v>1803</v>
      </c>
      <c r="M76" s="2">
        <v>45650</v>
      </c>
      <c r="N76" t="s">
        <v>1802</v>
      </c>
      <c r="O76" t="s">
        <v>470</v>
      </c>
      <c r="P76">
        <v>133.62</v>
      </c>
      <c r="Q76">
        <v>2</v>
      </c>
      <c r="R76" t="s">
        <v>166</v>
      </c>
      <c r="S76" s="5">
        <v>10</v>
      </c>
      <c r="T76" s="3">
        <v>4</v>
      </c>
      <c r="U76" s="4" t="str">
        <f t="shared" si="12"/>
        <v>Before_time</v>
      </c>
      <c r="V76">
        <v>50</v>
      </c>
      <c r="W76" s="3">
        <f t="shared" si="13"/>
        <v>1</v>
      </c>
      <c r="X76" s="2">
        <v>45651</v>
      </c>
      <c r="Y76" s="1">
        <f>YEAR(Table2[[#This Row],[Delivery_Date]])</f>
        <v>2024</v>
      </c>
      <c r="Z76" s="2" t="str">
        <f t="shared" si="14"/>
        <v>Dec</v>
      </c>
      <c r="AA76" t="s">
        <v>1801</v>
      </c>
      <c r="AB76">
        <f t="shared" si="15"/>
        <v>290.51600000000002</v>
      </c>
      <c r="AC76">
        <f>Table2[[#This Row],[Price]]*Table2[[#This Row],[Quantity]]*Table2[[#This Row],[COUPON %]]/100</f>
        <v>26.724</v>
      </c>
      <c r="AD76">
        <f t="shared" si="16"/>
        <v>240.51600000000002</v>
      </c>
      <c r="AE76" s="1">
        <f t="shared" si="17"/>
        <v>267.24</v>
      </c>
    </row>
    <row r="77" spans="1:31" x14ac:dyDescent="0.25">
      <c r="A77" t="s">
        <v>1559</v>
      </c>
      <c r="B77" t="str">
        <f t="shared" si="9"/>
        <v xml:space="preserve">Teresa Harvey </v>
      </c>
      <c r="C77" t="s">
        <v>1558</v>
      </c>
      <c r="D77" t="s">
        <v>1557</v>
      </c>
      <c r="E77">
        <v>64</v>
      </c>
      <c r="F77" t="str">
        <f t="shared" si="10"/>
        <v>&gt;45</v>
      </c>
      <c r="G77" t="s">
        <v>8</v>
      </c>
      <c r="H77" t="s">
        <v>107</v>
      </c>
      <c r="I77" t="s">
        <v>1556</v>
      </c>
      <c r="J77" t="str">
        <f t="shared" si="11"/>
        <v>gmail.com</v>
      </c>
      <c r="K77" t="s">
        <v>1555</v>
      </c>
      <c r="L77" t="s">
        <v>1800</v>
      </c>
      <c r="M77" s="2">
        <v>45459</v>
      </c>
      <c r="N77" t="s">
        <v>1799</v>
      </c>
      <c r="O77" t="s">
        <v>457</v>
      </c>
      <c r="P77">
        <v>363.64</v>
      </c>
      <c r="Q77">
        <v>3</v>
      </c>
      <c r="R77" t="s">
        <v>1</v>
      </c>
      <c r="S77" s="5">
        <v>0</v>
      </c>
      <c r="T77" s="3">
        <v>7</v>
      </c>
      <c r="U77" s="4" t="str">
        <f t="shared" si="12"/>
        <v>Before_time</v>
      </c>
      <c r="V77">
        <v>41</v>
      </c>
      <c r="W77" s="3">
        <f t="shared" si="13"/>
        <v>2</v>
      </c>
      <c r="X77" s="2">
        <v>45461</v>
      </c>
      <c r="Y77" s="1">
        <f>YEAR(Table2[[#This Row],[Delivery_Date]])</f>
        <v>2024</v>
      </c>
      <c r="Z77" s="2" t="str">
        <f t="shared" si="14"/>
        <v>Jun</v>
      </c>
      <c r="AA77" t="s">
        <v>1798</v>
      </c>
      <c r="AB77">
        <f t="shared" si="15"/>
        <v>1131.92</v>
      </c>
      <c r="AC77">
        <f>Table2[[#This Row],[Price]]*Table2[[#This Row],[Quantity]]*Table2[[#This Row],[COUPON %]]/100</f>
        <v>0</v>
      </c>
      <c r="AD77">
        <f t="shared" si="16"/>
        <v>1090.92</v>
      </c>
      <c r="AE77" s="1">
        <f t="shared" si="17"/>
        <v>1090.92</v>
      </c>
    </row>
    <row r="78" spans="1:31" x14ac:dyDescent="0.25">
      <c r="A78" t="s">
        <v>371</v>
      </c>
      <c r="B78" t="str">
        <f t="shared" si="9"/>
        <v xml:space="preserve">Anthony Thomas </v>
      </c>
      <c r="C78" t="s">
        <v>370</v>
      </c>
      <c r="D78" t="s">
        <v>369</v>
      </c>
      <c r="E78">
        <v>53</v>
      </c>
      <c r="F78" t="str">
        <f t="shared" si="10"/>
        <v>&gt;45</v>
      </c>
      <c r="G78" t="s">
        <v>29</v>
      </c>
      <c r="H78" t="s">
        <v>7</v>
      </c>
      <c r="I78" t="s">
        <v>368</v>
      </c>
      <c r="J78" t="str">
        <f t="shared" si="11"/>
        <v>rediffmail.com</v>
      </c>
      <c r="K78" t="s">
        <v>367</v>
      </c>
      <c r="L78" t="s">
        <v>1797</v>
      </c>
      <c r="M78" s="2">
        <v>45041</v>
      </c>
      <c r="N78" t="s">
        <v>1796</v>
      </c>
      <c r="O78" t="s">
        <v>35</v>
      </c>
      <c r="P78">
        <v>128.13999999999999</v>
      </c>
      <c r="Q78">
        <v>1</v>
      </c>
      <c r="R78" t="s">
        <v>34</v>
      </c>
      <c r="S78" s="5">
        <v>8</v>
      </c>
      <c r="T78" s="3">
        <v>7</v>
      </c>
      <c r="U78" s="4" t="str">
        <f t="shared" si="12"/>
        <v>Before_time</v>
      </c>
      <c r="V78">
        <v>70</v>
      </c>
      <c r="W78" s="3">
        <f t="shared" si="13"/>
        <v>4</v>
      </c>
      <c r="X78" s="2">
        <v>45045</v>
      </c>
      <c r="Y78" s="1">
        <f>YEAR(Table2[[#This Row],[Delivery_Date]])</f>
        <v>2023</v>
      </c>
      <c r="Z78" s="2" t="str">
        <f t="shared" si="14"/>
        <v>Apr</v>
      </c>
      <c r="AA78" t="s">
        <v>1795</v>
      </c>
      <c r="AB78">
        <f t="shared" si="15"/>
        <v>187.8888</v>
      </c>
      <c r="AC78">
        <f>Table2[[#This Row],[Price]]*Table2[[#This Row],[Quantity]]*Table2[[#This Row],[COUPON %]]/100</f>
        <v>10.251199999999999</v>
      </c>
      <c r="AD78">
        <f t="shared" si="16"/>
        <v>117.88879999999999</v>
      </c>
      <c r="AE78" s="1">
        <f t="shared" si="17"/>
        <v>128.13999999999999</v>
      </c>
    </row>
    <row r="79" spans="1:31" x14ac:dyDescent="0.25">
      <c r="A79" t="s">
        <v>121</v>
      </c>
      <c r="B79" t="str">
        <f t="shared" si="9"/>
        <v xml:space="preserve">Aaron Thompson </v>
      </c>
      <c r="C79" t="s">
        <v>120</v>
      </c>
      <c r="D79" t="s">
        <v>119</v>
      </c>
      <c r="E79">
        <v>47</v>
      </c>
      <c r="F79" t="str">
        <f t="shared" si="10"/>
        <v>&gt;45</v>
      </c>
      <c r="G79" t="s">
        <v>29</v>
      </c>
      <c r="H79" t="s">
        <v>118</v>
      </c>
      <c r="I79" t="s">
        <v>117</v>
      </c>
      <c r="J79" t="str">
        <f t="shared" si="11"/>
        <v>gmail.com</v>
      </c>
      <c r="K79" t="s">
        <v>116</v>
      </c>
      <c r="L79" t="s">
        <v>1794</v>
      </c>
      <c r="M79" s="2">
        <v>45683</v>
      </c>
      <c r="N79" t="s">
        <v>1793</v>
      </c>
      <c r="O79" t="s">
        <v>199</v>
      </c>
      <c r="P79">
        <v>477.52</v>
      </c>
      <c r="Q79">
        <v>2</v>
      </c>
      <c r="R79" t="s">
        <v>34</v>
      </c>
      <c r="S79" s="5">
        <v>8</v>
      </c>
      <c r="T79" s="3">
        <v>6</v>
      </c>
      <c r="U79" s="4" t="str">
        <f t="shared" si="12"/>
        <v>Before_time</v>
      </c>
      <c r="V79">
        <v>55</v>
      </c>
      <c r="W79" s="3">
        <f t="shared" si="13"/>
        <v>2</v>
      </c>
      <c r="X79" s="2">
        <v>45685</v>
      </c>
      <c r="Y79" s="1">
        <f>YEAR(Table2[[#This Row],[Delivery_Date]])</f>
        <v>2025</v>
      </c>
      <c r="Z79" s="2" t="str">
        <f t="shared" si="14"/>
        <v>Jan</v>
      </c>
      <c r="AA79" t="s">
        <v>1792</v>
      </c>
      <c r="AB79">
        <f t="shared" si="15"/>
        <v>933.63679999999999</v>
      </c>
      <c r="AC79">
        <f>Table2[[#This Row],[Price]]*Table2[[#This Row],[Quantity]]*Table2[[#This Row],[COUPON %]]/100</f>
        <v>76.403199999999998</v>
      </c>
      <c r="AD79">
        <f t="shared" si="16"/>
        <v>878.63679999999999</v>
      </c>
      <c r="AE79" s="1">
        <f t="shared" si="17"/>
        <v>955.04</v>
      </c>
    </row>
    <row r="80" spans="1:31" x14ac:dyDescent="0.25">
      <c r="A80" t="s">
        <v>111</v>
      </c>
      <c r="B80" t="str">
        <f t="shared" si="9"/>
        <v xml:space="preserve">Ashley Romero </v>
      </c>
      <c r="C80" t="s">
        <v>110</v>
      </c>
      <c r="D80" t="s">
        <v>109</v>
      </c>
      <c r="E80">
        <v>35</v>
      </c>
      <c r="F80" t="str">
        <f t="shared" si="10"/>
        <v>26-35</v>
      </c>
      <c r="G80" t="s">
        <v>108</v>
      </c>
      <c r="H80" t="s">
        <v>107</v>
      </c>
      <c r="I80" t="s">
        <v>106</v>
      </c>
      <c r="J80" t="str">
        <f t="shared" si="11"/>
        <v>yahoo.com</v>
      </c>
      <c r="K80" t="s">
        <v>105</v>
      </c>
      <c r="L80" t="s">
        <v>1791</v>
      </c>
      <c r="M80" s="2">
        <v>45054</v>
      </c>
      <c r="N80" t="s">
        <v>1790</v>
      </c>
      <c r="O80" t="s">
        <v>582</v>
      </c>
      <c r="P80">
        <v>126.19</v>
      </c>
      <c r="Q80">
        <v>3</v>
      </c>
      <c r="R80" t="s">
        <v>1</v>
      </c>
      <c r="S80" s="5">
        <v>0</v>
      </c>
      <c r="T80" s="3">
        <v>5</v>
      </c>
      <c r="U80" s="4" t="str">
        <f t="shared" si="12"/>
        <v>Before_time</v>
      </c>
      <c r="V80">
        <v>40</v>
      </c>
      <c r="W80" s="3">
        <f t="shared" si="13"/>
        <v>4</v>
      </c>
      <c r="X80" s="2">
        <v>45058</v>
      </c>
      <c r="Y80" s="1">
        <f>YEAR(Table2[[#This Row],[Delivery_Date]])</f>
        <v>2023</v>
      </c>
      <c r="Z80" s="2" t="str">
        <f t="shared" si="14"/>
        <v>May</v>
      </c>
      <c r="AA80" t="s">
        <v>1789</v>
      </c>
      <c r="AB80">
        <f t="shared" si="15"/>
        <v>418.57</v>
      </c>
      <c r="AC80">
        <f>Table2[[#This Row],[Price]]*Table2[[#This Row],[Quantity]]*Table2[[#This Row],[COUPON %]]/100</f>
        <v>0</v>
      </c>
      <c r="AD80">
        <f t="shared" si="16"/>
        <v>378.57</v>
      </c>
      <c r="AE80" s="1">
        <f t="shared" si="17"/>
        <v>378.57</v>
      </c>
    </row>
    <row r="81" spans="1:31" x14ac:dyDescent="0.25">
      <c r="A81" t="s">
        <v>1238</v>
      </c>
      <c r="B81" t="str">
        <f t="shared" si="9"/>
        <v xml:space="preserve">John Ramirez </v>
      </c>
      <c r="C81" t="s">
        <v>1163</v>
      </c>
      <c r="D81" t="s">
        <v>1237</v>
      </c>
      <c r="E81">
        <v>28</v>
      </c>
      <c r="F81" t="str">
        <f t="shared" si="10"/>
        <v>26-35</v>
      </c>
      <c r="G81" t="s">
        <v>8</v>
      </c>
      <c r="H81" t="s">
        <v>59</v>
      </c>
      <c r="I81" t="s">
        <v>1236</v>
      </c>
      <c r="J81" t="str">
        <f t="shared" si="11"/>
        <v>outlook.com</v>
      </c>
      <c r="K81" t="s">
        <v>1235</v>
      </c>
      <c r="L81" t="s">
        <v>1788</v>
      </c>
      <c r="M81" s="2">
        <v>45443</v>
      </c>
      <c r="N81" t="s">
        <v>1787</v>
      </c>
      <c r="O81" t="s">
        <v>149</v>
      </c>
      <c r="P81">
        <v>481.48</v>
      </c>
      <c r="Q81">
        <v>4</v>
      </c>
      <c r="R81" t="s">
        <v>166</v>
      </c>
      <c r="S81" s="5">
        <v>10</v>
      </c>
      <c r="T81" s="3">
        <v>1</v>
      </c>
      <c r="U81" s="4" t="str">
        <f t="shared" si="12"/>
        <v>Late_Delivery</v>
      </c>
      <c r="V81">
        <v>36</v>
      </c>
      <c r="W81" s="3">
        <f t="shared" si="13"/>
        <v>4</v>
      </c>
      <c r="X81" s="2">
        <v>45447</v>
      </c>
      <c r="Y81" s="1">
        <f>YEAR(Table2[[#This Row],[Delivery_Date]])</f>
        <v>2024</v>
      </c>
      <c r="Z81" s="2" t="str">
        <f t="shared" si="14"/>
        <v>Jun</v>
      </c>
      <c r="AA81" t="s">
        <v>1786</v>
      </c>
      <c r="AB81">
        <f t="shared" si="15"/>
        <v>1769.3280000000002</v>
      </c>
      <c r="AC81">
        <f>Table2[[#This Row],[Price]]*Table2[[#This Row],[Quantity]]*Table2[[#This Row],[COUPON %]]/100</f>
        <v>192.59200000000001</v>
      </c>
      <c r="AD81">
        <f t="shared" si="16"/>
        <v>1733.3280000000002</v>
      </c>
      <c r="AE81" s="1">
        <f t="shared" si="17"/>
        <v>1925.92</v>
      </c>
    </row>
    <row r="82" spans="1:31" x14ac:dyDescent="0.25">
      <c r="A82" t="s">
        <v>231</v>
      </c>
      <c r="B82" t="str">
        <f t="shared" si="9"/>
        <v xml:space="preserve">Debra Hayes </v>
      </c>
      <c r="C82" t="s">
        <v>230</v>
      </c>
      <c r="D82" t="s">
        <v>229</v>
      </c>
      <c r="E82">
        <v>33</v>
      </c>
      <c r="F82" t="str">
        <f t="shared" si="10"/>
        <v>26-35</v>
      </c>
      <c r="G82" t="s">
        <v>108</v>
      </c>
      <c r="H82" t="s">
        <v>79</v>
      </c>
      <c r="I82" t="s">
        <v>228</v>
      </c>
      <c r="J82" t="str">
        <f t="shared" si="11"/>
        <v>yahoo.com</v>
      </c>
      <c r="K82" t="s">
        <v>227</v>
      </c>
      <c r="L82" t="s">
        <v>1785</v>
      </c>
      <c r="M82" s="2">
        <v>45675</v>
      </c>
      <c r="N82" t="s">
        <v>1784</v>
      </c>
      <c r="O82" t="s">
        <v>140</v>
      </c>
      <c r="P82">
        <v>308.88</v>
      </c>
      <c r="Q82">
        <v>3</v>
      </c>
      <c r="R82" t="s">
        <v>93</v>
      </c>
      <c r="S82" s="5">
        <v>15</v>
      </c>
      <c r="T82" s="3">
        <v>4</v>
      </c>
      <c r="U82" s="4" t="str">
        <f t="shared" si="12"/>
        <v>Before_time</v>
      </c>
      <c r="V82">
        <v>48</v>
      </c>
      <c r="W82" s="3">
        <f t="shared" si="13"/>
        <v>3</v>
      </c>
      <c r="X82" s="2">
        <v>45678</v>
      </c>
      <c r="Y82" s="1">
        <f>YEAR(Table2[[#This Row],[Delivery_Date]])</f>
        <v>2025</v>
      </c>
      <c r="Z82" s="2" t="str">
        <f t="shared" si="14"/>
        <v>Jan</v>
      </c>
      <c r="AA82" t="s">
        <v>1783</v>
      </c>
      <c r="AB82">
        <f t="shared" si="15"/>
        <v>835.64400000000001</v>
      </c>
      <c r="AC82">
        <f>Table2[[#This Row],[Price]]*Table2[[#This Row],[Quantity]]*Table2[[#This Row],[COUPON %]]/100</f>
        <v>138.99600000000001</v>
      </c>
      <c r="AD82">
        <f t="shared" si="16"/>
        <v>787.64400000000001</v>
      </c>
      <c r="AE82" s="1">
        <f t="shared" si="17"/>
        <v>926.64</v>
      </c>
    </row>
    <row r="83" spans="1:31" x14ac:dyDescent="0.25">
      <c r="A83" t="s">
        <v>838</v>
      </c>
      <c r="B83" t="str">
        <f t="shared" si="9"/>
        <v xml:space="preserve">Christian Clayton </v>
      </c>
      <c r="C83" t="s">
        <v>837</v>
      </c>
      <c r="D83" t="s">
        <v>836</v>
      </c>
      <c r="E83">
        <v>39</v>
      </c>
      <c r="F83" t="str">
        <f t="shared" si="10"/>
        <v>36-45</v>
      </c>
      <c r="G83" t="s">
        <v>29</v>
      </c>
      <c r="H83" t="s">
        <v>40</v>
      </c>
      <c r="I83" t="s">
        <v>835</v>
      </c>
      <c r="J83" t="str">
        <f t="shared" si="11"/>
        <v>yahoo.com</v>
      </c>
      <c r="K83" t="s">
        <v>834</v>
      </c>
      <c r="L83" t="s">
        <v>1782</v>
      </c>
      <c r="M83" s="2">
        <v>45525</v>
      </c>
      <c r="N83" t="s">
        <v>1781</v>
      </c>
      <c r="O83" t="s">
        <v>273</v>
      </c>
      <c r="P83">
        <v>403.03</v>
      </c>
      <c r="Q83">
        <v>1</v>
      </c>
      <c r="R83" t="s">
        <v>64</v>
      </c>
      <c r="S83" s="5">
        <v>20</v>
      </c>
      <c r="T83" s="3">
        <v>3</v>
      </c>
      <c r="U83" s="4" t="str">
        <f t="shared" si="12"/>
        <v>Before_time</v>
      </c>
      <c r="V83">
        <v>52</v>
      </c>
      <c r="W83" s="3">
        <f t="shared" si="13"/>
        <v>1</v>
      </c>
      <c r="X83" s="2">
        <v>45526</v>
      </c>
      <c r="Y83" s="1">
        <f>YEAR(Table2[[#This Row],[Delivery_Date]])</f>
        <v>2024</v>
      </c>
      <c r="Z83" s="2" t="str">
        <f t="shared" si="14"/>
        <v>Aug</v>
      </c>
      <c r="AA83" t="s">
        <v>1780</v>
      </c>
      <c r="AB83">
        <f t="shared" si="15"/>
        <v>374.42399999999998</v>
      </c>
      <c r="AC83">
        <f>Table2[[#This Row],[Price]]*Table2[[#This Row],[Quantity]]*Table2[[#This Row],[COUPON %]]/100</f>
        <v>80.605999999999995</v>
      </c>
      <c r="AD83">
        <f t="shared" si="16"/>
        <v>322.42399999999998</v>
      </c>
      <c r="AE83" s="1">
        <f t="shared" si="17"/>
        <v>403.03</v>
      </c>
    </row>
    <row r="84" spans="1:31" x14ac:dyDescent="0.25">
      <c r="A84" t="s">
        <v>386</v>
      </c>
      <c r="B84" t="str">
        <f t="shared" si="9"/>
        <v xml:space="preserve">William Mann </v>
      </c>
      <c r="C84" t="s">
        <v>385</v>
      </c>
      <c r="D84" t="s">
        <v>384</v>
      </c>
      <c r="E84">
        <v>21</v>
      </c>
      <c r="F84" t="str">
        <f t="shared" si="10"/>
        <v>0-25</v>
      </c>
      <c r="G84" t="s">
        <v>108</v>
      </c>
      <c r="H84" t="s">
        <v>7</v>
      </c>
      <c r="I84" t="s">
        <v>383</v>
      </c>
      <c r="J84" t="str">
        <f t="shared" si="11"/>
        <v>yahoo.com</v>
      </c>
      <c r="K84" t="s">
        <v>382</v>
      </c>
      <c r="L84" t="s">
        <v>1779</v>
      </c>
      <c r="M84" s="2">
        <v>45041</v>
      </c>
      <c r="N84" t="s">
        <v>1778</v>
      </c>
      <c r="O84" t="s">
        <v>361</v>
      </c>
      <c r="P84">
        <v>330.11</v>
      </c>
      <c r="Q84">
        <v>2</v>
      </c>
      <c r="R84" t="s">
        <v>34</v>
      </c>
      <c r="S84" s="5">
        <v>8</v>
      </c>
      <c r="T84" s="3">
        <v>3</v>
      </c>
      <c r="U84" s="4" t="str">
        <f t="shared" si="12"/>
        <v>Late_Delivery</v>
      </c>
      <c r="V84">
        <v>64</v>
      </c>
      <c r="W84" s="3">
        <f t="shared" si="13"/>
        <v>5</v>
      </c>
      <c r="X84" s="2">
        <v>45046</v>
      </c>
      <c r="Y84" s="1">
        <f>YEAR(Table2[[#This Row],[Delivery_Date]])</f>
        <v>2023</v>
      </c>
      <c r="Z84" s="2" t="str">
        <f t="shared" si="14"/>
        <v>Apr</v>
      </c>
      <c r="AA84" t="s">
        <v>1777</v>
      </c>
      <c r="AB84">
        <f t="shared" si="15"/>
        <v>671.40240000000006</v>
      </c>
      <c r="AC84">
        <f>Table2[[#This Row],[Price]]*Table2[[#This Row],[Quantity]]*Table2[[#This Row],[COUPON %]]/100</f>
        <v>52.817599999999999</v>
      </c>
      <c r="AD84">
        <f t="shared" si="16"/>
        <v>607.40240000000006</v>
      </c>
      <c r="AE84" s="1">
        <f t="shared" si="17"/>
        <v>660.22</v>
      </c>
    </row>
    <row r="85" spans="1:31" x14ac:dyDescent="0.25">
      <c r="A85" t="s">
        <v>1238</v>
      </c>
      <c r="B85" t="str">
        <f t="shared" si="9"/>
        <v xml:space="preserve">John Ramirez </v>
      </c>
      <c r="C85" t="s">
        <v>1163</v>
      </c>
      <c r="D85" t="s">
        <v>1237</v>
      </c>
      <c r="E85">
        <v>28</v>
      </c>
      <c r="F85" t="str">
        <f t="shared" si="10"/>
        <v>26-35</v>
      </c>
      <c r="G85" t="s">
        <v>8</v>
      </c>
      <c r="H85" t="s">
        <v>59</v>
      </c>
      <c r="I85" t="s">
        <v>1236</v>
      </c>
      <c r="J85" t="str">
        <f t="shared" si="11"/>
        <v>outlook.com</v>
      </c>
      <c r="K85" t="s">
        <v>1235</v>
      </c>
      <c r="L85" t="s">
        <v>1776</v>
      </c>
      <c r="M85" s="2">
        <v>45322</v>
      </c>
      <c r="N85" t="s">
        <v>1775</v>
      </c>
      <c r="O85" t="s">
        <v>84</v>
      </c>
      <c r="P85">
        <v>62.42</v>
      </c>
      <c r="Q85">
        <v>1</v>
      </c>
      <c r="R85" t="s">
        <v>64</v>
      </c>
      <c r="S85" s="5">
        <v>20</v>
      </c>
      <c r="T85" s="3">
        <v>6</v>
      </c>
      <c r="U85" s="4" t="str">
        <f t="shared" si="12"/>
        <v>Late_Delivery</v>
      </c>
      <c r="V85">
        <v>53</v>
      </c>
      <c r="W85" s="3">
        <f t="shared" si="13"/>
        <v>7</v>
      </c>
      <c r="X85" s="2">
        <v>45329</v>
      </c>
      <c r="Y85" s="1">
        <f>YEAR(Table2[[#This Row],[Delivery_Date]])</f>
        <v>2024</v>
      </c>
      <c r="Z85" s="2" t="str">
        <f t="shared" si="14"/>
        <v>Feb</v>
      </c>
      <c r="AA85" t="s">
        <v>1774</v>
      </c>
      <c r="AB85">
        <f t="shared" si="15"/>
        <v>102.93600000000001</v>
      </c>
      <c r="AC85">
        <f>Table2[[#This Row],[Price]]*Table2[[#This Row],[Quantity]]*Table2[[#This Row],[COUPON %]]/100</f>
        <v>12.484000000000002</v>
      </c>
      <c r="AD85">
        <f t="shared" si="16"/>
        <v>49.936000000000007</v>
      </c>
      <c r="AE85" s="1">
        <f t="shared" si="17"/>
        <v>62.42</v>
      </c>
    </row>
    <row r="86" spans="1:31" x14ac:dyDescent="0.25">
      <c r="A86" t="s">
        <v>476</v>
      </c>
      <c r="B86" t="str">
        <f t="shared" si="9"/>
        <v xml:space="preserve">Kelli Smith </v>
      </c>
      <c r="C86" t="s">
        <v>475</v>
      </c>
      <c r="D86" t="s">
        <v>204</v>
      </c>
      <c r="E86">
        <v>18</v>
      </c>
      <c r="F86" t="str">
        <f t="shared" si="10"/>
        <v>0-25</v>
      </c>
      <c r="G86" t="s">
        <v>29</v>
      </c>
      <c r="H86" t="s">
        <v>7</v>
      </c>
      <c r="I86" t="s">
        <v>474</v>
      </c>
      <c r="J86" t="str">
        <f t="shared" si="11"/>
        <v>rediffmail.com</v>
      </c>
      <c r="K86" t="s">
        <v>473</v>
      </c>
      <c r="L86" t="s">
        <v>1773</v>
      </c>
      <c r="M86" s="2">
        <v>45625</v>
      </c>
      <c r="N86" t="s">
        <v>1772</v>
      </c>
      <c r="O86" t="s">
        <v>361</v>
      </c>
      <c r="P86">
        <v>330.11</v>
      </c>
      <c r="Q86">
        <v>1</v>
      </c>
      <c r="R86" t="s">
        <v>64</v>
      </c>
      <c r="S86" s="5">
        <v>20</v>
      </c>
      <c r="T86" s="3">
        <v>4</v>
      </c>
      <c r="U86" s="4" t="str">
        <f t="shared" si="12"/>
        <v>Before_time</v>
      </c>
      <c r="V86">
        <v>67</v>
      </c>
      <c r="W86" s="3">
        <f t="shared" si="13"/>
        <v>2</v>
      </c>
      <c r="X86" s="2">
        <v>45627</v>
      </c>
      <c r="Y86" s="1">
        <f>YEAR(Table2[[#This Row],[Delivery_Date]])</f>
        <v>2024</v>
      </c>
      <c r="Z86" s="2" t="str">
        <f t="shared" si="14"/>
        <v>Dec</v>
      </c>
      <c r="AA86" t="s">
        <v>1771</v>
      </c>
      <c r="AB86">
        <f t="shared" si="15"/>
        <v>331.08800000000002</v>
      </c>
      <c r="AC86">
        <f>Table2[[#This Row],[Price]]*Table2[[#This Row],[Quantity]]*Table2[[#This Row],[COUPON %]]/100</f>
        <v>66.022000000000006</v>
      </c>
      <c r="AD86">
        <f t="shared" si="16"/>
        <v>264.08800000000002</v>
      </c>
      <c r="AE86" s="1">
        <f t="shared" si="17"/>
        <v>330.11</v>
      </c>
    </row>
    <row r="87" spans="1:31" x14ac:dyDescent="0.25">
      <c r="A87" t="s">
        <v>243</v>
      </c>
      <c r="B87" t="str">
        <f t="shared" si="9"/>
        <v xml:space="preserve">Heather Schneider </v>
      </c>
      <c r="C87" t="s">
        <v>242</v>
      </c>
      <c r="D87" t="s">
        <v>241</v>
      </c>
      <c r="E87">
        <v>48</v>
      </c>
      <c r="F87" t="str">
        <f t="shared" si="10"/>
        <v>&gt;45</v>
      </c>
      <c r="G87" t="s">
        <v>29</v>
      </c>
      <c r="H87" t="s">
        <v>118</v>
      </c>
      <c r="I87" t="s">
        <v>240</v>
      </c>
      <c r="J87" t="str">
        <f t="shared" si="11"/>
        <v>outlook.com</v>
      </c>
      <c r="K87" t="s">
        <v>239</v>
      </c>
      <c r="L87" t="s">
        <v>1770</v>
      </c>
      <c r="M87" s="2">
        <v>45505</v>
      </c>
      <c r="N87" t="s">
        <v>1769</v>
      </c>
      <c r="O87" t="s">
        <v>131</v>
      </c>
      <c r="P87">
        <v>48.45</v>
      </c>
      <c r="Q87">
        <v>1</v>
      </c>
      <c r="R87" t="s">
        <v>93</v>
      </c>
      <c r="S87" s="5">
        <v>15</v>
      </c>
      <c r="T87" s="3">
        <v>6</v>
      </c>
      <c r="U87" s="4" t="str">
        <f t="shared" si="12"/>
        <v>Late_Delivery</v>
      </c>
      <c r="V87">
        <v>66</v>
      </c>
      <c r="W87" s="3">
        <f t="shared" si="13"/>
        <v>7</v>
      </c>
      <c r="X87" s="2">
        <v>45512</v>
      </c>
      <c r="Y87" s="1">
        <f>YEAR(Table2[[#This Row],[Delivery_Date]])</f>
        <v>2024</v>
      </c>
      <c r="Z87" s="2" t="str">
        <f t="shared" si="14"/>
        <v>Aug</v>
      </c>
      <c r="AA87" t="s">
        <v>1768</v>
      </c>
      <c r="AB87">
        <f t="shared" si="15"/>
        <v>107.1825</v>
      </c>
      <c r="AC87">
        <f>Table2[[#This Row],[Price]]*Table2[[#This Row],[Quantity]]*Table2[[#This Row],[COUPON %]]/100</f>
        <v>7.2675000000000001</v>
      </c>
      <c r="AD87">
        <f t="shared" si="16"/>
        <v>41.182500000000005</v>
      </c>
      <c r="AE87" s="1">
        <f t="shared" si="17"/>
        <v>48.45</v>
      </c>
    </row>
    <row r="88" spans="1:31" x14ac:dyDescent="0.25">
      <c r="A88" t="s">
        <v>817</v>
      </c>
      <c r="B88" t="str">
        <f t="shared" si="9"/>
        <v xml:space="preserve">Sharon Thompson </v>
      </c>
      <c r="C88" t="s">
        <v>816</v>
      </c>
      <c r="D88" t="s">
        <v>119</v>
      </c>
      <c r="E88">
        <v>57</v>
      </c>
      <c r="F88" t="str">
        <f t="shared" si="10"/>
        <v>&gt;45</v>
      </c>
      <c r="G88" t="s">
        <v>29</v>
      </c>
      <c r="H88" t="s">
        <v>18</v>
      </c>
      <c r="I88" t="s">
        <v>815</v>
      </c>
      <c r="J88" t="str">
        <f t="shared" si="11"/>
        <v>yahoo.com</v>
      </c>
      <c r="K88" t="s">
        <v>814</v>
      </c>
      <c r="L88" t="s">
        <v>1767</v>
      </c>
      <c r="M88" s="2">
        <v>45252</v>
      </c>
      <c r="N88" t="s">
        <v>1766</v>
      </c>
      <c r="O88" t="s">
        <v>181</v>
      </c>
      <c r="P88">
        <v>405</v>
      </c>
      <c r="Q88">
        <v>2</v>
      </c>
      <c r="R88" t="s">
        <v>1</v>
      </c>
      <c r="S88" s="5">
        <v>0</v>
      </c>
      <c r="T88" s="3">
        <v>4</v>
      </c>
      <c r="U88" s="4" t="str">
        <f t="shared" si="12"/>
        <v>Late_Delivery</v>
      </c>
      <c r="V88">
        <v>70</v>
      </c>
      <c r="W88" s="3">
        <f t="shared" si="13"/>
        <v>5</v>
      </c>
      <c r="X88" s="2">
        <v>45257</v>
      </c>
      <c r="Y88" s="1">
        <f>YEAR(Table2[[#This Row],[Delivery_Date]])</f>
        <v>2023</v>
      </c>
      <c r="Z88" s="2" t="str">
        <f t="shared" si="14"/>
        <v>Nov</v>
      </c>
      <c r="AA88" t="s">
        <v>1765</v>
      </c>
      <c r="AB88">
        <f t="shared" si="15"/>
        <v>880</v>
      </c>
      <c r="AC88">
        <f>Table2[[#This Row],[Price]]*Table2[[#This Row],[Quantity]]*Table2[[#This Row],[COUPON %]]/100</f>
        <v>0</v>
      </c>
      <c r="AD88">
        <f t="shared" si="16"/>
        <v>810</v>
      </c>
      <c r="AE88" s="1">
        <f t="shared" si="17"/>
        <v>810</v>
      </c>
    </row>
    <row r="89" spans="1:31" x14ac:dyDescent="0.25">
      <c r="A89" t="s">
        <v>817</v>
      </c>
      <c r="B89" t="str">
        <f t="shared" si="9"/>
        <v xml:space="preserve">Sharon Thompson </v>
      </c>
      <c r="C89" t="s">
        <v>816</v>
      </c>
      <c r="D89" t="s">
        <v>119</v>
      </c>
      <c r="E89">
        <v>57</v>
      </c>
      <c r="F89" t="str">
        <f t="shared" si="10"/>
        <v>&gt;45</v>
      </c>
      <c r="G89" t="s">
        <v>29</v>
      </c>
      <c r="H89" t="s">
        <v>18</v>
      </c>
      <c r="I89" t="s">
        <v>815</v>
      </c>
      <c r="J89" t="str">
        <f t="shared" si="11"/>
        <v>yahoo.com</v>
      </c>
      <c r="K89" t="s">
        <v>814</v>
      </c>
      <c r="L89" t="s">
        <v>1764</v>
      </c>
      <c r="M89" s="2">
        <v>45595</v>
      </c>
      <c r="N89" t="s">
        <v>1763</v>
      </c>
      <c r="O89" t="s">
        <v>264</v>
      </c>
      <c r="P89">
        <v>496.59</v>
      </c>
      <c r="Q89">
        <v>2</v>
      </c>
      <c r="R89" t="s">
        <v>166</v>
      </c>
      <c r="S89" s="5">
        <v>10</v>
      </c>
      <c r="T89" s="3">
        <v>1</v>
      </c>
      <c r="U89" s="4" t="str">
        <f t="shared" si="12"/>
        <v>Late_Delivery</v>
      </c>
      <c r="V89">
        <v>46</v>
      </c>
      <c r="W89" s="3">
        <f t="shared" si="13"/>
        <v>3</v>
      </c>
      <c r="X89" s="2">
        <v>45598</v>
      </c>
      <c r="Y89" s="1">
        <f>YEAR(Table2[[#This Row],[Delivery_Date]])</f>
        <v>2024</v>
      </c>
      <c r="Z89" s="2" t="str">
        <f t="shared" si="14"/>
        <v>Nov</v>
      </c>
      <c r="AA89" t="s">
        <v>1762</v>
      </c>
      <c r="AB89">
        <f t="shared" si="15"/>
        <v>939.86199999999997</v>
      </c>
      <c r="AC89">
        <f>Table2[[#This Row],[Price]]*Table2[[#This Row],[Quantity]]*Table2[[#This Row],[COUPON %]]/100</f>
        <v>99.317999999999998</v>
      </c>
      <c r="AD89">
        <f t="shared" si="16"/>
        <v>893.86199999999997</v>
      </c>
      <c r="AE89" s="1">
        <f t="shared" si="17"/>
        <v>993.18</v>
      </c>
    </row>
    <row r="90" spans="1:31" x14ac:dyDescent="0.25">
      <c r="A90" t="s">
        <v>1632</v>
      </c>
      <c r="B90" t="str">
        <f t="shared" si="9"/>
        <v xml:space="preserve">Marcus Valenzuela </v>
      </c>
      <c r="C90" t="s">
        <v>853</v>
      </c>
      <c r="D90" t="s">
        <v>1631</v>
      </c>
      <c r="E90">
        <v>39</v>
      </c>
      <c r="F90" t="str">
        <f t="shared" si="10"/>
        <v>36-45</v>
      </c>
      <c r="G90" t="s">
        <v>108</v>
      </c>
      <c r="H90" t="s">
        <v>107</v>
      </c>
      <c r="I90" t="s">
        <v>1630</v>
      </c>
      <c r="J90" t="str">
        <f t="shared" si="11"/>
        <v>yahoo.com</v>
      </c>
      <c r="K90" t="s">
        <v>1629</v>
      </c>
      <c r="L90" t="s">
        <v>1761</v>
      </c>
      <c r="M90" s="2">
        <v>45227</v>
      </c>
      <c r="N90" t="s">
        <v>1760</v>
      </c>
      <c r="O90" t="s">
        <v>131</v>
      </c>
      <c r="P90">
        <v>48.45</v>
      </c>
      <c r="Q90">
        <v>1</v>
      </c>
      <c r="R90" t="s">
        <v>64</v>
      </c>
      <c r="S90" s="5">
        <v>20</v>
      </c>
      <c r="T90" s="3">
        <v>4</v>
      </c>
      <c r="U90" s="4" t="str">
        <f t="shared" si="12"/>
        <v>Before_time</v>
      </c>
      <c r="V90">
        <v>66</v>
      </c>
      <c r="W90" s="3">
        <f t="shared" si="13"/>
        <v>1</v>
      </c>
      <c r="X90" s="2">
        <v>45228</v>
      </c>
      <c r="Y90" s="1">
        <f>YEAR(Table2[[#This Row],[Delivery_Date]])</f>
        <v>2023</v>
      </c>
      <c r="Z90" s="2" t="str">
        <f t="shared" si="14"/>
        <v>Oct</v>
      </c>
      <c r="AA90" t="s">
        <v>1759</v>
      </c>
      <c r="AB90">
        <f t="shared" si="15"/>
        <v>104.76</v>
      </c>
      <c r="AC90">
        <f>Table2[[#This Row],[Price]]*Table2[[#This Row],[Quantity]]*Table2[[#This Row],[COUPON %]]/100</f>
        <v>9.69</v>
      </c>
      <c r="AD90">
        <f t="shared" si="16"/>
        <v>38.760000000000005</v>
      </c>
      <c r="AE90" s="1">
        <f t="shared" si="17"/>
        <v>48.45</v>
      </c>
    </row>
    <row r="91" spans="1:31" x14ac:dyDescent="0.25">
      <c r="A91" t="s">
        <v>1489</v>
      </c>
      <c r="B91" t="str">
        <f t="shared" si="9"/>
        <v xml:space="preserve">Joseph Gaines </v>
      </c>
      <c r="C91" t="s">
        <v>128</v>
      </c>
      <c r="D91" t="s">
        <v>1488</v>
      </c>
      <c r="E91">
        <v>47</v>
      </c>
      <c r="F91" t="str">
        <f t="shared" si="10"/>
        <v>&gt;45</v>
      </c>
      <c r="G91" t="s">
        <v>8</v>
      </c>
      <c r="H91" t="s">
        <v>28</v>
      </c>
      <c r="I91" t="s">
        <v>1487</v>
      </c>
      <c r="J91" t="str">
        <f t="shared" si="11"/>
        <v>outlook.com</v>
      </c>
      <c r="K91" t="s">
        <v>1486</v>
      </c>
      <c r="L91" t="s">
        <v>1758</v>
      </c>
      <c r="M91" s="2">
        <v>45076</v>
      </c>
      <c r="N91" t="s">
        <v>1757</v>
      </c>
      <c r="O91" t="s">
        <v>303</v>
      </c>
      <c r="P91">
        <v>431.44</v>
      </c>
      <c r="Q91">
        <v>1</v>
      </c>
      <c r="R91" t="s">
        <v>1</v>
      </c>
      <c r="S91" s="5">
        <v>0</v>
      </c>
      <c r="T91" s="3">
        <v>7</v>
      </c>
      <c r="U91" s="4" t="str">
        <f t="shared" si="12"/>
        <v>Before_time</v>
      </c>
      <c r="V91">
        <v>35</v>
      </c>
      <c r="W91" s="3">
        <f t="shared" si="13"/>
        <v>4</v>
      </c>
      <c r="X91" s="2">
        <v>45080</v>
      </c>
      <c r="Y91" s="1">
        <f>YEAR(Table2[[#This Row],[Delivery_Date]])</f>
        <v>2023</v>
      </c>
      <c r="Z91" s="2" t="str">
        <f t="shared" si="14"/>
        <v>Jun</v>
      </c>
      <c r="AA91" t="s">
        <v>1756</v>
      </c>
      <c r="AB91">
        <f t="shared" si="15"/>
        <v>466.44</v>
      </c>
      <c r="AC91">
        <f>Table2[[#This Row],[Price]]*Table2[[#This Row],[Quantity]]*Table2[[#This Row],[COUPON %]]/100</f>
        <v>0</v>
      </c>
      <c r="AD91">
        <f t="shared" si="16"/>
        <v>431.44</v>
      </c>
      <c r="AE91" s="1">
        <f t="shared" si="17"/>
        <v>431.44</v>
      </c>
    </row>
    <row r="92" spans="1:31" x14ac:dyDescent="0.25">
      <c r="A92" t="s">
        <v>761</v>
      </c>
      <c r="B92" t="str">
        <f t="shared" si="9"/>
        <v xml:space="preserve">Joshua Campbell </v>
      </c>
      <c r="C92" t="s">
        <v>760</v>
      </c>
      <c r="D92" t="s">
        <v>759</v>
      </c>
      <c r="E92">
        <v>24</v>
      </c>
      <c r="F92" t="str">
        <f t="shared" si="10"/>
        <v>0-25</v>
      </c>
      <c r="G92" t="s">
        <v>108</v>
      </c>
      <c r="H92" t="s">
        <v>40</v>
      </c>
      <c r="I92" t="s">
        <v>758</v>
      </c>
      <c r="J92" t="str">
        <f t="shared" si="11"/>
        <v>gmail.com</v>
      </c>
      <c r="K92" t="s">
        <v>757</v>
      </c>
      <c r="L92" t="s">
        <v>1755</v>
      </c>
      <c r="M92" s="2">
        <v>45555</v>
      </c>
      <c r="N92" t="s">
        <v>1754</v>
      </c>
      <c r="O92" t="s">
        <v>396</v>
      </c>
      <c r="P92">
        <v>286.07</v>
      </c>
      <c r="Q92">
        <v>5</v>
      </c>
      <c r="R92" t="s">
        <v>93</v>
      </c>
      <c r="S92" s="5">
        <v>15</v>
      </c>
      <c r="T92" s="3">
        <v>5</v>
      </c>
      <c r="U92" s="4" t="str">
        <f t="shared" si="12"/>
        <v>Before_time</v>
      </c>
      <c r="V92">
        <v>65</v>
      </c>
      <c r="W92" s="3">
        <f t="shared" si="13"/>
        <v>3</v>
      </c>
      <c r="X92" s="2">
        <v>45558</v>
      </c>
      <c r="Y92" s="1">
        <f>YEAR(Table2[[#This Row],[Delivery_Date]])</f>
        <v>2024</v>
      </c>
      <c r="Z92" s="2" t="str">
        <f t="shared" si="14"/>
        <v>Sep</v>
      </c>
      <c r="AA92" t="s">
        <v>1753</v>
      </c>
      <c r="AB92">
        <f t="shared" si="15"/>
        <v>1280.7974999999999</v>
      </c>
      <c r="AC92">
        <f>Table2[[#This Row],[Price]]*Table2[[#This Row],[Quantity]]*Table2[[#This Row],[COUPON %]]/100</f>
        <v>214.55250000000001</v>
      </c>
      <c r="AD92">
        <f t="shared" si="16"/>
        <v>1215.7974999999999</v>
      </c>
      <c r="AE92" s="1">
        <f t="shared" si="17"/>
        <v>1430.35</v>
      </c>
    </row>
    <row r="93" spans="1:31" x14ac:dyDescent="0.25">
      <c r="A93" t="s">
        <v>1238</v>
      </c>
      <c r="B93" t="str">
        <f t="shared" si="9"/>
        <v xml:space="preserve">John Ramirez </v>
      </c>
      <c r="C93" t="s">
        <v>1163</v>
      </c>
      <c r="D93" t="s">
        <v>1237</v>
      </c>
      <c r="E93">
        <v>28</v>
      </c>
      <c r="F93" t="str">
        <f t="shared" si="10"/>
        <v>26-35</v>
      </c>
      <c r="G93" t="s">
        <v>8</v>
      </c>
      <c r="H93" t="s">
        <v>59</v>
      </c>
      <c r="I93" t="s">
        <v>1236</v>
      </c>
      <c r="J93" t="str">
        <f t="shared" si="11"/>
        <v>outlook.com</v>
      </c>
      <c r="K93" t="s">
        <v>1235</v>
      </c>
      <c r="L93" t="s">
        <v>1752</v>
      </c>
      <c r="M93" s="2">
        <v>45495</v>
      </c>
      <c r="N93" t="s">
        <v>1751</v>
      </c>
      <c r="O93" t="s">
        <v>582</v>
      </c>
      <c r="P93">
        <v>126.19</v>
      </c>
      <c r="Q93">
        <v>2</v>
      </c>
      <c r="R93" t="s">
        <v>34</v>
      </c>
      <c r="S93" s="5">
        <v>8</v>
      </c>
      <c r="T93" s="3">
        <v>7</v>
      </c>
      <c r="U93" s="4" t="str">
        <f t="shared" si="12"/>
        <v>Before_time</v>
      </c>
      <c r="V93">
        <v>48</v>
      </c>
      <c r="W93" s="3">
        <f t="shared" si="13"/>
        <v>1</v>
      </c>
      <c r="X93" s="2">
        <v>45496</v>
      </c>
      <c r="Y93" s="1">
        <f>YEAR(Table2[[#This Row],[Delivery_Date]])</f>
        <v>2024</v>
      </c>
      <c r="Z93" s="2" t="str">
        <f t="shared" si="14"/>
        <v>Jul</v>
      </c>
      <c r="AA93" t="s">
        <v>1750</v>
      </c>
      <c r="AB93">
        <f t="shared" si="15"/>
        <v>280.18960000000004</v>
      </c>
      <c r="AC93">
        <f>Table2[[#This Row],[Price]]*Table2[[#This Row],[Quantity]]*Table2[[#This Row],[COUPON %]]/100</f>
        <v>20.1904</v>
      </c>
      <c r="AD93">
        <f t="shared" si="16"/>
        <v>232.18960000000001</v>
      </c>
      <c r="AE93" s="1">
        <f t="shared" si="17"/>
        <v>252.38</v>
      </c>
    </row>
    <row r="94" spans="1:31" x14ac:dyDescent="0.25">
      <c r="A94" t="s">
        <v>1187</v>
      </c>
      <c r="B94" t="str">
        <f t="shared" si="9"/>
        <v xml:space="preserve">Lauren Long </v>
      </c>
      <c r="C94" t="s">
        <v>254</v>
      </c>
      <c r="D94" t="s">
        <v>1186</v>
      </c>
      <c r="E94">
        <v>44</v>
      </c>
      <c r="F94" t="str">
        <f t="shared" si="10"/>
        <v>36-45</v>
      </c>
      <c r="G94" t="s">
        <v>108</v>
      </c>
      <c r="H94" t="s">
        <v>18</v>
      </c>
      <c r="I94" t="s">
        <v>1185</v>
      </c>
      <c r="J94" t="str">
        <f t="shared" si="11"/>
        <v>gmail.com</v>
      </c>
      <c r="K94" t="s">
        <v>1184</v>
      </c>
      <c r="L94" t="s">
        <v>1749</v>
      </c>
      <c r="M94" s="2">
        <v>45307</v>
      </c>
      <c r="N94" t="s">
        <v>1748</v>
      </c>
      <c r="O94" t="s">
        <v>281</v>
      </c>
      <c r="P94">
        <v>445.81</v>
      </c>
      <c r="Q94">
        <v>5</v>
      </c>
      <c r="R94" t="s">
        <v>93</v>
      </c>
      <c r="S94" s="5">
        <v>15</v>
      </c>
      <c r="T94" s="3">
        <v>1</v>
      </c>
      <c r="U94" s="4" t="str">
        <f t="shared" si="12"/>
        <v>Late_Delivery</v>
      </c>
      <c r="V94">
        <v>56</v>
      </c>
      <c r="W94" s="3">
        <f t="shared" si="13"/>
        <v>6</v>
      </c>
      <c r="X94" s="2">
        <v>45313</v>
      </c>
      <c r="Y94" s="1">
        <f>YEAR(Table2[[#This Row],[Delivery_Date]])</f>
        <v>2024</v>
      </c>
      <c r="Z94" s="2" t="str">
        <f t="shared" si="14"/>
        <v>Jan</v>
      </c>
      <c r="AA94" t="s">
        <v>1747</v>
      </c>
      <c r="AB94">
        <f t="shared" si="15"/>
        <v>1950.6925000000001</v>
      </c>
      <c r="AC94">
        <f>Table2[[#This Row],[Price]]*Table2[[#This Row],[Quantity]]*Table2[[#This Row],[COUPON %]]/100</f>
        <v>334.35750000000002</v>
      </c>
      <c r="AD94">
        <f t="shared" si="16"/>
        <v>1894.6925000000001</v>
      </c>
      <c r="AE94" s="1">
        <f t="shared" si="17"/>
        <v>2229.0500000000002</v>
      </c>
    </row>
    <row r="95" spans="1:31" x14ac:dyDescent="0.25">
      <c r="A95" t="s">
        <v>279</v>
      </c>
      <c r="B95" t="str">
        <f t="shared" si="9"/>
        <v xml:space="preserve">Amy Ellis </v>
      </c>
      <c r="C95" t="s">
        <v>270</v>
      </c>
      <c r="D95" t="s">
        <v>278</v>
      </c>
      <c r="E95">
        <v>44</v>
      </c>
      <c r="F95" t="str">
        <f t="shared" si="10"/>
        <v>36-45</v>
      </c>
      <c r="G95" t="s">
        <v>8</v>
      </c>
      <c r="H95" t="s">
        <v>118</v>
      </c>
      <c r="I95" t="s">
        <v>277</v>
      </c>
      <c r="J95" t="str">
        <f t="shared" si="11"/>
        <v>gmail.com</v>
      </c>
      <c r="K95" t="s">
        <v>276</v>
      </c>
      <c r="L95" t="s">
        <v>1746</v>
      </c>
      <c r="M95" s="2">
        <v>45625</v>
      </c>
      <c r="N95" t="s">
        <v>1745</v>
      </c>
      <c r="O95" t="s">
        <v>426</v>
      </c>
      <c r="P95">
        <v>369.03</v>
      </c>
      <c r="Q95">
        <v>4</v>
      </c>
      <c r="R95" t="s">
        <v>64</v>
      </c>
      <c r="S95" s="5">
        <v>20</v>
      </c>
      <c r="T95" s="3">
        <v>4</v>
      </c>
      <c r="U95" s="4" t="str">
        <f t="shared" si="12"/>
        <v>Late_Delivery</v>
      </c>
      <c r="V95">
        <v>56</v>
      </c>
      <c r="W95" s="3">
        <f t="shared" si="13"/>
        <v>5</v>
      </c>
      <c r="X95" s="2">
        <v>45630</v>
      </c>
      <c r="Y95" s="1">
        <f>YEAR(Table2[[#This Row],[Delivery_Date]])</f>
        <v>2024</v>
      </c>
      <c r="Z95" s="2" t="str">
        <f t="shared" si="14"/>
        <v>Dec</v>
      </c>
      <c r="AA95" t="s">
        <v>1744</v>
      </c>
      <c r="AB95">
        <f t="shared" si="15"/>
        <v>1236.896</v>
      </c>
      <c r="AC95">
        <f>Table2[[#This Row],[Price]]*Table2[[#This Row],[Quantity]]*Table2[[#This Row],[COUPON %]]/100</f>
        <v>295.22399999999999</v>
      </c>
      <c r="AD95">
        <f t="shared" si="16"/>
        <v>1180.896</v>
      </c>
      <c r="AE95" s="1">
        <f t="shared" si="17"/>
        <v>1476.12</v>
      </c>
    </row>
    <row r="96" spans="1:31" x14ac:dyDescent="0.25">
      <c r="A96" t="s">
        <v>218</v>
      </c>
      <c r="B96" t="str">
        <f t="shared" si="9"/>
        <v xml:space="preserve">Beth Mason </v>
      </c>
      <c r="C96" t="s">
        <v>217</v>
      </c>
      <c r="D96" t="s">
        <v>216</v>
      </c>
      <c r="E96">
        <v>45</v>
      </c>
      <c r="F96" t="str">
        <f t="shared" si="10"/>
        <v>36-45</v>
      </c>
      <c r="G96" t="s">
        <v>8</v>
      </c>
      <c r="H96" t="s">
        <v>118</v>
      </c>
      <c r="I96" t="s">
        <v>215</v>
      </c>
      <c r="J96" t="str">
        <f t="shared" si="11"/>
        <v>outlook.com</v>
      </c>
      <c r="K96" t="s">
        <v>214</v>
      </c>
      <c r="L96" t="s">
        <v>1743</v>
      </c>
      <c r="M96" s="2">
        <v>45504</v>
      </c>
      <c r="N96" t="s">
        <v>1742</v>
      </c>
      <c r="O96" t="s">
        <v>45</v>
      </c>
      <c r="P96">
        <v>433.62</v>
      </c>
      <c r="Q96">
        <v>2</v>
      </c>
      <c r="R96" t="s">
        <v>64</v>
      </c>
      <c r="S96" s="5">
        <v>20</v>
      </c>
      <c r="T96" s="3">
        <v>1</v>
      </c>
      <c r="U96" s="4" t="str">
        <f t="shared" si="12"/>
        <v>Late_Delivery</v>
      </c>
      <c r="V96">
        <v>41</v>
      </c>
      <c r="W96" s="3">
        <f t="shared" si="13"/>
        <v>6</v>
      </c>
      <c r="X96" s="2">
        <v>45510</v>
      </c>
      <c r="Y96" s="1">
        <f>YEAR(Table2[[#This Row],[Delivery_Date]])</f>
        <v>2024</v>
      </c>
      <c r="Z96" s="2" t="str">
        <f t="shared" si="14"/>
        <v>Aug</v>
      </c>
      <c r="AA96" t="s">
        <v>1741</v>
      </c>
      <c r="AB96">
        <f t="shared" si="15"/>
        <v>734.79200000000003</v>
      </c>
      <c r="AC96">
        <f>Table2[[#This Row],[Price]]*Table2[[#This Row],[Quantity]]*Table2[[#This Row],[COUPON %]]/100</f>
        <v>173.44799999999998</v>
      </c>
      <c r="AD96">
        <f t="shared" si="16"/>
        <v>693.79200000000003</v>
      </c>
      <c r="AE96" s="1">
        <f t="shared" si="17"/>
        <v>867.24</v>
      </c>
    </row>
    <row r="97" spans="1:31" x14ac:dyDescent="0.25">
      <c r="A97" t="s">
        <v>557</v>
      </c>
      <c r="B97" t="str">
        <f t="shared" si="9"/>
        <v xml:space="preserve">Sarah Butler </v>
      </c>
      <c r="C97" t="s">
        <v>556</v>
      </c>
      <c r="D97" t="s">
        <v>555</v>
      </c>
      <c r="E97">
        <v>64</v>
      </c>
      <c r="F97" t="str">
        <f t="shared" si="10"/>
        <v>&gt;45</v>
      </c>
      <c r="G97" t="s">
        <v>108</v>
      </c>
      <c r="H97" t="s">
        <v>107</v>
      </c>
      <c r="I97" t="s">
        <v>554</v>
      </c>
      <c r="J97" t="str">
        <f t="shared" si="11"/>
        <v>rediffmail.com</v>
      </c>
      <c r="K97" t="s">
        <v>553</v>
      </c>
      <c r="L97" t="s">
        <v>1740</v>
      </c>
      <c r="M97" s="2">
        <v>45488</v>
      </c>
      <c r="N97" t="s">
        <v>1739</v>
      </c>
      <c r="O97" t="s">
        <v>299</v>
      </c>
      <c r="P97">
        <v>235.63</v>
      </c>
      <c r="Q97">
        <v>4</v>
      </c>
      <c r="R97" t="s">
        <v>64</v>
      </c>
      <c r="S97" s="5">
        <v>20</v>
      </c>
      <c r="T97" s="3">
        <v>2</v>
      </c>
      <c r="U97" s="4" t="str">
        <f t="shared" si="12"/>
        <v>Late_Delivery</v>
      </c>
      <c r="V97">
        <v>60</v>
      </c>
      <c r="W97" s="3">
        <f t="shared" si="13"/>
        <v>7</v>
      </c>
      <c r="X97" s="2">
        <v>45495</v>
      </c>
      <c r="Y97" s="1">
        <f>YEAR(Table2[[#This Row],[Delivery_Date]])</f>
        <v>2024</v>
      </c>
      <c r="Z97" s="2" t="str">
        <f t="shared" si="14"/>
        <v>Jul</v>
      </c>
      <c r="AA97" t="s">
        <v>1738</v>
      </c>
      <c r="AB97">
        <f t="shared" si="15"/>
        <v>814.01600000000008</v>
      </c>
      <c r="AC97">
        <f>Table2[[#This Row],[Price]]*Table2[[#This Row],[Quantity]]*Table2[[#This Row],[COUPON %]]/100</f>
        <v>188.50400000000002</v>
      </c>
      <c r="AD97">
        <f t="shared" si="16"/>
        <v>754.01600000000008</v>
      </c>
      <c r="AE97" s="1">
        <f t="shared" si="17"/>
        <v>942.52</v>
      </c>
    </row>
    <row r="98" spans="1:31" x14ac:dyDescent="0.25">
      <c r="A98" t="s">
        <v>1164</v>
      </c>
      <c r="B98" t="str">
        <f t="shared" si="9"/>
        <v xml:space="preserve">John Herrera </v>
      </c>
      <c r="C98" t="s">
        <v>1163</v>
      </c>
      <c r="D98" t="s">
        <v>1162</v>
      </c>
      <c r="E98">
        <v>64</v>
      </c>
      <c r="F98" t="str">
        <f t="shared" si="10"/>
        <v>&gt;45</v>
      </c>
      <c r="G98" t="s">
        <v>29</v>
      </c>
      <c r="H98" t="s">
        <v>7</v>
      </c>
      <c r="I98" t="s">
        <v>1161</v>
      </c>
      <c r="J98" t="str">
        <f t="shared" si="11"/>
        <v>outlook.com</v>
      </c>
      <c r="K98" t="s">
        <v>1160</v>
      </c>
      <c r="L98" t="s">
        <v>1737</v>
      </c>
      <c r="M98" s="2">
        <v>45118</v>
      </c>
      <c r="N98" t="s">
        <v>1736</v>
      </c>
      <c r="O98" t="s">
        <v>190</v>
      </c>
      <c r="P98">
        <v>158.53</v>
      </c>
      <c r="Q98">
        <v>5</v>
      </c>
      <c r="R98" t="s">
        <v>64</v>
      </c>
      <c r="S98" s="5">
        <v>20</v>
      </c>
      <c r="T98" s="3">
        <v>1</v>
      </c>
      <c r="U98" s="4" t="str">
        <f t="shared" si="12"/>
        <v>Late_Delivery</v>
      </c>
      <c r="V98">
        <v>57</v>
      </c>
      <c r="W98" s="3">
        <f t="shared" si="13"/>
        <v>7</v>
      </c>
      <c r="X98" s="2">
        <v>45125</v>
      </c>
      <c r="Y98" s="1">
        <f>YEAR(Table2[[#This Row],[Delivery_Date]])</f>
        <v>2023</v>
      </c>
      <c r="Z98" s="2" t="str">
        <f t="shared" si="14"/>
        <v>Jul</v>
      </c>
      <c r="AA98" t="s">
        <v>1735</v>
      </c>
      <c r="AB98">
        <f t="shared" si="15"/>
        <v>691.12</v>
      </c>
      <c r="AC98">
        <f>Table2[[#This Row],[Price]]*Table2[[#This Row],[Quantity]]*Table2[[#This Row],[COUPON %]]/100</f>
        <v>158.53</v>
      </c>
      <c r="AD98">
        <f t="shared" si="16"/>
        <v>634.12</v>
      </c>
      <c r="AE98" s="1">
        <f t="shared" si="17"/>
        <v>792.65</v>
      </c>
    </row>
    <row r="99" spans="1:31" x14ac:dyDescent="0.25">
      <c r="A99" t="s">
        <v>1164</v>
      </c>
      <c r="B99" t="str">
        <f t="shared" si="9"/>
        <v xml:space="preserve">John Herrera </v>
      </c>
      <c r="C99" t="s">
        <v>1163</v>
      </c>
      <c r="D99" t="s">
        <v>1162</v>
      </c>
      <c r="E99">
        <v>64</v>
      </c>
      <c r="F99" t="str">
        <f t="shared" si="10"/>
        <v>&gt;45</v>
      </c>
      <c r="G99" t="s">
        <v>29</v>
      </c>
      <c r="H99" t="s">
        <v>7</v>
      </c>
      <c r="I99" t="s">
        <v>1161</v>
      </c>
      <c r="J99" t="str">
        <f t="shared" si="11"/>
        <v>outlook.com</v>
      </c>
      <c r="K99" t="s">
        <v>1160</v>
      </c>
      <c r="L99" t="s">
        <v>1734</v>
      </c>
      <c r="M99" s="2">
        <v>45183</v>
      </c>
      <c r="N99" t="s">
        <v>1733</v>
      </c>
      <c r="O99" t="s">
        <v>361</v>
      </c>
      <c r="P99">
        <v>330.11</v>
      </c>
      <c r="Q99">
        <v>3</v>
      </c>
      <c r="R99" t="s">
        <v>93</v>
      </c>
      <c r="S99" s="5">
        <v>15</v>
      </c>
      <c r="T99" s="3">
        <v>3</v>
      </c>
      <c r="U99" s="4" t="str">
        <f t="shared" si="12"/>
        <v>On_time</v>
      </c>
      <c r="V99">
        <v>65</v>
      </c>
      <c r="W99" s="3">
        <f t="shared" si="13"/>
        <v>3</v>
      </c>
      <c r="X99" s="2">
        <v>45186</v>
      </c>
      <c r="Y99" s="1">
        <f>YEAR(Table2[[#This Row],[Delivery_Date]])</f>
        <v>2023</v>
      </c>
      <c r="Z99" s="2" t="str">
        <f t="shared" si="14"/>
        <v>Sep</v>
      </c>
      <c r="AA99" t="s">
        <v>1732</v>
      </c>
      <c r="AB99">
        <f t="shared" si="15"/>
        <v>906.78049999999996</v>
      </c>
      <c r="AC99">
        <f>Table2[[#This Row],[Price]]*Table2[[#This Row],[Quantity]]*Table2[[#This Row],[COUPON %]]/100</f>
        <v>148.54949999999999</v>
      </c>
      <c r="AD99">
        <f t="shared" si="16"/>
        <v>841.78049999999996</v>
      </c>
      <c r="AE99" s="1">
        <f t="shared" si="17"/>
        <v>990.33</v>
      </c>
    </row>
    <row r="100" spans="1:31" x14ac:dyDescent="0.25">
      <c r="A100" t="s">
        <v>218</v>
      </c>
      <c r="B100" t="str">
        <f t="shared" si="9"/>
        <v xml:space="preserve">Beth Mason </v>
      </c>
      <c r="C100" t="s">
        <v>217</v>
      </c>
      <c r="D100" t="s">
        <v>216</v>
      </c>
      <c r="E100">
        <v>45</v>
      </c>
      <c r="F100" t="str">
        <f t="shared" si="10"/>
        <v>36-45</v>
      </c>
      <c r="G100" t="s">
        <v>8</v>
      </c>
      <c r="H100" t="s">
        <v>118</v>
      </c>
      <c r="I100" t="s">
        <v>215</v>
      </c>
      <c r="J100" t="str">
        <f t="shared" si="11"/>
        <v>outlook.com</v>
      </c>
      <c r="K100" t="s">
        <v>214</v>
      </c>
      <c r="L100" t="s">
        <v>1731</v>
      </c>
      <c r="M100" s="2">
        <v>45673</v>
      </c>
      <c r="N100" t="s">
        <v>1730</v>
      </c>
      <c r="O100" t="s">
        <v>54</v>
      </c>
      <c r="P100">
        <v>220.27</v>
      </c>
      <c r="Q100">
        <v>2</v>
      </c>
      <c r="R100" t="s">
        <v>64</v>
      </c>
      <c r="S100" s="5">
        <v>20</v>
      </c>
      <c r="T100" s="3">
        <v>1</v>
      </c>
      <c r="U100" s="4" t="str">
        <f t="shared" si="12"/>
        <v>Late_Delivery</v>
      </c>
      <c r="V100">
        <v>63</v>
      </c>
      <c r="W100" s="3">
        <f t="shared" si="13"/>
        <v>2</v>
      </c>
      <c r="X100" s="2">
        <v>45675</v>
      </c>
      <c r="Y100" s="1">
        <f>YEAR(Table2[[#This Row],[Delivery_Date]])</f>
        <v>2025</v>
      </c>
      <c r="Z100" s="2" t="str">
        <f t="shared" si="14"/>
        <v>Jan</v>
      </c>
      <c r="AA100" t="s">
        <v>1729</v>
      </c>
      <c r="AB100">
        <f t="shared" si="15"/>
        <v>415.43200000000002</v>
      </c>
      <c r="AC100">
        <f>Table2[[#This Row],[Price]]*Table2[[#This Row],[Quantity]]*Table2[[#This Row],[COUPON %]]/100</f>
        <v>88.108000000000004</v>
      </c>
      <c r="AD100">
        <f t="shared" si="16"/>
        <v>352.43200000000002</v>
      </c>
      <c r="AE100" s="1">
        <f t="shared" si="17"/>
        <v>440.54</v>
      </c>
    </row>
    <row r="101" spans="1:31" x14ac:dyDescent="0.25">
      <c r="A101" t="s">
        <v>386</v>
      </c>
      <c r="B101" t="str">
        <f t="shared" si="9"/>
        <v xml:space="preserve">William Mann </v>
      </c>
      <c r="C101" t="s">
        <v>385</v>
      </c>
      <c r="D101" t="s">
        <v>384</v>
      </c>
      <c r="E101">
        <v>21</v>
      </c>
      <c r="F101" t="str">
        <f t="shared" si="10"/>
        <v>0-25</v>
      </c>
      <c r="G101" t="s">
        <v>108</v>
      </c>
      <c r="H101" t="s">
        <v>7</v>
      </c>
      <c r="I101" t="s">
        <v>383</v>
      </c>
      <c r="J101" t="str">
        <f t="shared" si="11"/>
        <v>yahoo.com</v>
      </c>
      <c r="K101" t="s">
        <v>382</v>
      </c>
      <c r="L101" t="s">
        <v>1728</v>
      </c>
      <c r="M101" s="2">
        <v>45321</v>
      </c>
      <c r="N101" t="s">
        <v>1727</v>
      </c>
      <c r="O101" t="s">
        <v>729</v>
      </c>
      <c r="P101">
        <v>275.44</v>
      </c>
      <c r="Q101">
        <v>3</v>
      </c>
      <c r="R101" t="s">
        <v>93</v>
      </c>
      <c r="S101" s="5">
        <v>15</v>
      </c>
      <c r="T101" s="3">
        <v>7</v>
      </c>
      <c r="U101" s="4" t="str">
        <f t="shared" si="12"/>
        <v>Before_time</v>
      </c>
      <c r="V101">
        <v>47</v>
      </c>
      <c r="W101" s="3">
        <f t="shared" si="13"/>
        <v>1</v>
      </c>
      <c r="X101" s="2">
        <v>45322</v>
      </c>
      <c r="Y101" s="1">
        <f>YEAR(Table2[[#This Row],[Delivery_Date]])</f>
        <v>2024</v>
      </c>
      <c r="Z101" s="2" t="str">
        <f t="shared" si="14"/>
        <v>Jan</v>
      </c>
      <c r="AA101" t="s">
        <v>1726</v>
      </c>
      <c r="AB101">
        <f t="shared" si="15"/>
        <v>749.37199999999996</v>
      </c>
      <c r="AC101">
        <f>Table2[[#This Row],[Price]]*Table2[[#This Row],[Quantity]]*Table2[[#This Row],[COUPON %]]/100</f>
        <v>123.94799999999999</v>
      </c>
      <c r="AD101">
        <f t="shared" si="16"/>
        <v>702.37199999999996</v>
      </c>
      <c r="AE101" s="1">
        <f t="shared" si="17"/>
        <v>826.31999999999994</v>
      </c>
    </row>
    <row r="102" spans="1:31" x14ac:dyDescent="0.25">
      <c r="A102" t="s">
        <v>651</v>
      </c>
      <c r="B102" t="str">
        <f t="shared" si="9"/>
        <v xml:space="preserve">Christy Chang </v>
      </c>
      <c r="C102" t="s">
        <v>650</v>
      </c>
      <c r="D102" t="s">
        <v>649</v>
      </c>
      <c r="E102">
        <v>38</v>
      </c>
      <c r="F102" t="str">
        <f t="shared" si="10"/>
        <v>36-45</v>
      </c>
      <c r="G102" t="s">
        <v>29</v>
      </c>
      <c r="H102" t="s">
        <v>18</v>
      </c>
      <c r="I102" t="s">
        <v>648</v>
      </c>
      <c r="J102" t="str">
        <f t="shared" si="11"/>
        <v>outlook.com</v>
      </c>
      <c r="K102" t="s">
        <v>647</v>
      </c>
      <c r="L102" t="s">
        <v>1725</v>
      </c>
      <c r="M102" s="2">
        <v>45203</v>
      </c>
      <c r="N102" t="s">
        <v>1724</v>
      </c>
      <c r="O102" t="s">
        <v>199</v>
      </c>
      <c r="P102">
        <v>477.52</v>
      </c>
      <c r="Q102">
        <v>3</v>
      </c>
      <c r="R102" t="s">
        <v>34</v>
      </c>
      <c r="S102" s="5">
        <v>8</v>
      </c>
      <c r="T102" s="3">
        <v>7</v>
      </c>
      <c r="U102" s="4" t="str">
        <f t="shared" si="12"/>
        <v>Before_time</v>
      </c>
      <c r="V102">
        <v>66</v>
      </c>
      <c r="W102" s="3">
        <f t="shared" si="13"/>
        <v>5</v>
      </c>
      <c r="X102" s="2">
        <v>45208</v>
      </c>
      <c r="Y102" s="1">
        <f>YEAR(Table2[[#This Row],[Delivery_Date]])</f>
        <v>2023</v>
      </c>
      <c r="Z102" s="2" t="str">
        <f t="shared" si="14"/>
        <v>Oct</v>
      </c>
      <c r="AA102" t="s">
        <v>1723</v>
      </c>
      <c r="AB102">
        <f t="shared" si="15"/>
        <v>1383.9552000000001</v>
      </c>
      <c r="AC102">
        <f>Table2[[#This Row],[Price]]*Table2[[#This Row],[Quantity]]*Table2[[#This Row],[COUPON %]]/100</f>
        <v>114.6048</v>
      </c>
      <c r="AD102">
        <f t="shared" si="16"/>
        <v>1317.9552000000001</v>
      </c>
      <c r="AE102" s="1">
        <f t="shared" si="17"/>
        <v>1432.56</v>
      </c>
    </row>
    <row r="103" spans="1:31" x14ac:dyDescent="0.25">
      <c r="A103" t="s">
        <v>464</v>
      </c>
      <c r="B103" t="str">
        <f t="shared" si="9"/>
        <v xml:space="preserve">Troy Gomez </v>
      </c>
      <c r="C103" t="s">
        <v>463</v>
      </c>
      <c r="D103" t="s">
        <v>462</v>
      </c>
      <c r="E103">
        <v>68</v>
      </c>
      <c r="F103" t="str">
        <f t="shared" si="10"/>
        <v>&gt;45</v>
      </c>
      <c r="G103" t="s">
        <v>108</v>
      </c>
      <c r="H103" t="s">
        <v>18</v>
      </c>
      <c r="I103" t="s">
        <v>461</v>
      </c>
      <c r="J103" t="str">
        <f t="shared" si="11"/>
        <v>outlook.com</v>
      </c>
      <c r="K103" t="s">
        <v>460</v>
      </c>
      <c r="L103" t="s">
        <v>1722</v>
      </c>
      <c r="M103" s="2">
        <v>45636</v>
      </c>
      <c r="N103" t="s">
        <v>1721</v>
      </c>
      <c r="O103" t="s">
        <v>13</v>
      </c>
      <c r="P103">
        <v>424.82</v>
      </c>
      <c r="Q103">
        <v>1</v>
      </c>
      <c r="R103" t="s">
        <v>1</v>
      </c>
      <c r="S103" s="5">
        <v>0</v>
      </c>
      <c r="T103" s="3">
        <v>6</v>
      </c>
      <c r="U103" s="4" t="str">
        <f t="shared" si="12"/>
        <v>Before_time</v>
      </c>
      <c r="V103">
        <v>44</v>
      </c>
      <c r="W103" s="3">
        <f t="shared" si="13"/>
        <v>2</v>
      </c>
      <c r="X103" s="2">
        <v>45638</v>
      </c>
      <c r="Y103" s="1">
        <f>YEAR(Table2[[#This Row],[Delivery_Date]])</f>
        <v>2024</v>
      </c>
      <c r="Z103" s="2" t="str">
        <f t="shared" si="14"/>
        <v>Dec</v>
      </c>
      <c r="AA103" t="s">
        <v>1720</v>
      </c>
      <c r="AB103">
        <f t="shared" si="15"/>
        <v>468.82</v>
      </c>
      <c r="AC103">
        <f>Table2[[#This Row],[Price]]*Table2[[#This Row],[Quantity]]*Table2[[#This Row],[COUPON %]]/100</f>
        <v>0</v>
      </c>
      <c r="AD103">
        <f t="shared" si="16"/>
        <v>424.82</v>
      </c>
      <c r="AE103" s="1">
        <f t="shared" si="17"/>
        <v>424.82</v>
      </c>
    </row>
    <row r="104" spans="1:31" x14ac:dyDescent="0.25">
      <c r="A104" t="s">
        <v>452</v>
      </c>
      <c r="B104" t="str">
        <f t="shared" si="9"/>
        <v xml:space="preserve">Kim Blevins </v>
      </c>
      <c r="C104" t="s">
        <v>451</v>
      </c>
      <c r="D104" t="s">
        <v>450</v>
      </c>
      <c r="E104">
        <v>65</v>
      </c>
      <c r="F104" t="str">
        <f t="shared" si="10"/>
        <v>&gt;45</v>
      </c>
      <c r="G104" t="s">
        <v>29</v>
      </c>
      <c r="H104" t="s">
        <v>118</v>
      </c>
      <c r="I104" t="s">
        <v>449</v>
      </c>
      <c r="J104" t="str">
        <f t="shared" si="11"/>
        <v>outlook.com</v>
      </c>
      <c r="K104" t="s">
        <v>448</v>
      </c>
      <c r="L104" t="s">
        <v>1719</v>
      </c>
      <c r="M104" s="2">
        <v>45165</v>
      </c>
      <c r="N104" t="s">
        <v>1718</v>
      </c>
      <c r="O104" t="s">
        <v>426</v>
      </c>
      <c r="P104">
        <v>369.03</v>
      </c>
      <c r="Q104">
        <v>4</v>
      </c>
      <c r="R104" t="s">
        <v>34</v>
      </c>
      <c r="S104" s="5">
        <v>8</v>
      </c>
      <c r="T104" s="3">
        <v>3</v>
      </c>
      <c r="U104" s="4" t="str">
        <f t="shared" si="12"/>
        <v>Late_Delivery</v>
      </c>
      <c r="V104">
        <v>56</v>
      </c>
      <c r="W104" s="3">
        <f t="shared" si="13"/>
        <v>4</v>
      </c>
      <c r="X104" s="2">
        <v>45169</v>
      </c>
      <c r="Y104" s="1">
        <f>YEAR(Table2[[#This Row],[Delivery_Date]])</f>
        <v>2023</v>
      </c>
      <c r="Z104" s="2" t="str">
        <f t="shared" si="14"/>
        <v>Aug</v>
      </c>
      <c r="AA104" t="s">
        <v>1717</v>
      </c>
      <c r="AB104">
        <f t="shared" si="15"/>
        <v>1414.0303999999999</v>
      </c>
      <c r="AC104">
        <f>Table2[[#This Row],[Price]]*Table2[[#This Row],[Quantity]]*Table2[[#This Row],[COUPON %]]/100</f>
        <v>118.08959999999999</v>
      </c>
      <c r="AD104">
        <f t="shared" si="16"/>
        <v>1358.0303999999999</v>
      </c>
      <c r="AE104" s="1">
        <f t="shared" si="17"/>
        <v>1476.12</v>
      </c>
    </row>
    <row r="105" spans="1:31" x14ac:dyDescent="0.25">
      <c r="A105" t="s">
        <v>1716</v>
      </c>
      <c r="B105" t="str">
        <f t="shared" si="9"/>
        <v xml:space="preserve">Brian Kennedy </v>
      </c>
      <c r="C105" t="s">
        <v>1715</v>
      </c>
      <c r="D105" t="s">
        <v>1714</v>
      </c>
      <c r="E105">
        <v>69</v>
      </c>
      <c r="F105" t="str">
        <f t="shared" si="10"/>
        <v>&gt;45</v>
      </c>
      <c r="G105" t="s">
        <v>108</v>
      </c>
      <c r="H105" t="s">
        <v>107</v>
      </c>
      <c r="I105" t="s">
        <v>1713</v>
      </c>
      <c r="J105" t="str">
        <f t="shared" si="11"/>
        <v>outlook.com</v>
      </c>
      <c r="K105" t="s">
        <v>1712</v>
      </c>
      <c r="L105" t="s">
        <v>1711</v>
      </c>
      <c r="M105" s="2">
        <v>45484</v>
      </c>
      <c r="N105" t="s">
        <v>1710</v>
      </c>
      <c r="O105" t="s">
        <v>519</v>
      </c>
      <c r="P105">
        <v>136.30000000000001</v>
      </c>
      <c r="Q105">
        <v>2</v>
      </c>
      <c r="R105" t="s">
        <v>166</v>
      </c>
      <c r="S105" s="5">
        <v>10</v>
      </c>
      <c r="T105" s="3">
        <v>1</v>
      </c>
      <c r="U105" s="4" t="str">
        <f t="shared" si="12"/>
        <v>On_time</v>
      </c>
      <c r="V105">
        <v>54</v>
      </c>
      <c r="W105" s="3">
        <f t="shared" si="13"/>
        <v>1</v>
      </c>
      <c r="X105" s="2">
        <v>45485</v>
      </c>
      <c r="Y105" s="1">
        <f>YEAR(Table2[[#This Row],[Delivery_Date]])</f>
        <v>2024</v>
      </c>
      <c r="Z105" s="2" t="str">
        <f t="shared" si="14"/>
        <v>Jul</v>
      </c>
      <c r="AA105" t="s">
        <v>1709</v>
      </c>
      <c r="AB105">
        <f t="shared" si="15"/>
        <v>299.34000000000003</v>
      </c>
      <c r="AC105">
        <f>Table2[[#This Row],[Price]]*Table2[[#This Row],[Quantity]]*Table2[[#This Row],[COUPON %]]/100</f>
        <v>27.26</v>
      </c>
      <c r="AD105">
        <f t="shared" si="16"/>
        <v>245.34000000000003</v>
      </c>
      <c r="AE105" s="1">
        <f t="shared" si="17"/>
        <v>272.60000000000002</v>
      </c>
    </row>
    <row r="106" spans="1:31" x14ac:dyDescent="0.25">
      <c r="A106" t="s">
        <v>1238</v>
      </c>
      <c r="B106" t="str">
        <f t="shared" si="9"/>
        <v xml:space="preserve">John Ramirez </v>
      </c>
      <c r="C106" t="s">
        <v>1163</v>
      </c>
      <c r="D106" t="s">
        <v>1237</v>
      </c>
      <c r="E106">
        <v>28</v>
      </c>
      <c r="F106" t="str">
        <f t="shared" si="10"/>
        <v>26-35</v>
      </c>
      <c r="G106" t="s">
        <v>8</v>
      </c>
      <c r="H106" t="s">
        <v>59</v>
      </c>
      <c r="I106" t="s">
        <v>1236</v>
      </c>
      <c r="J106" t="str">
        <f t="shared" si="11"/>
        <v>outlook.com</v>
      </c>
      <c r="K106" t="s">
        <v>1235</v>
      </c>
      <c r="L106" t="s">
        <v>1708</v>
      </c>
      <c r="M106" s="2">
        <v>45113</v>
      </c>
      <c r="N106" t="s">
        <v>1707</v>
      </c>
      <c r="O106" t="s">
        <v>54</v>
      </c>
      <c r="P106">
        <v>220.27</v>
      </c>
      <c r="Q106">
        <v>4</v>
      </c>
      <c r="R106" t="s">
        <v>64</v>
      </c>
      <c r="S106" s="5">
        <v>20</v>
      </c>
      <c r="T106" s="3">
        <v>4</v>
      </c>
      <c r="U106" s="4" t="str">
        <f t="shared" si="12"/>
        <v>On_time</v>
      </c>
      <c r="V106">
        <v>65</v>
      </c>
      <c r="W106" s="3">
        <f t="shared" si="13"/>
        <v>4</v>
      </c>
      <c r="X106" s="2">
        <v>45117</v>
      </c>
      <c r="Y106" s="1">
        <f>YEAR(Table2[[#This Row],[Delivery_Date]])</f>
        <v>2023</v>
      </c>
      <c r="Z106" s="2" t="str">
        <f t="shared" si="14"/>
        <v>Jul</v>
      </c>
      <c r="AA106" t="s">
        <v>1706</v>
      </c>
      <c r="AB106">
        <f t="shared" si="15"/>
        <v>769.86400000000003</v>
      </c>
      <c r="AC106">
        <f>Table2[[#This Row],[Price]]*Table2[[#This Row],[Quantity]]*Table2[[#This Row],[COUPON %]]/100</f>
        <v>176.21600000000001</v>
      </c>
      <c r="AD106">
        <f t="shared" si="16"/>
        <v>704.86400000000003</v>
      </c>
      <c r="AE106" s="1">
        <f t="shared" si="17"/>
        <v>881.08</v>
      </c>
    </row>
    <row r="107" spans="1:31" x14ac:dyDescent="0.25">
      <c r="A107" t="s">
        <v>386</v>
      </c>
      <c r="B107" t="str">
        <f t="shared" si="9"/>
        <v xml:space="preserve">William Mann </v>
      </c>
      <c r="C107" t="s">
        <v>385</v>
      </c>
      <c r="D107" t="s">
        <v>384</v>
      </c>
      <c r="E107">
        <v>21</v>
      </c>
      <c r="F107" t="str">
        <f t="shared" si="10"/>
        <v>0-25</v>
      </c>
      <c r="G107" t="s">
        <v>108</v>
      </c>
      <c r="H107" t="s">
        <v>7</v>
      </c>
      <c r="I107" t="s">
        <v>383</v>
      </c>
      <c r="J107" t="str">
        <f t="shared" si="11"/>
        <v>yahoo.com</v>
      </c>
      <c r="K107" t="s">
        <v>382</v>
      </c>
      <c r="L107" t="s">
        <v>1705</v>
      </c>
      <c r="M107" s="2">
        <v>45530</v>
      </c>
      <c r="N107" t="s">
        <v>1704</v>
      </c>
      <c r="O107" t="s">
        <v>470</v>
      </c>
      <c r="P107">
        <v>133.62</v>
      </c>
      <c r="Q107">
        <v>5</v>
      </c>
      <c r="R107" t="s">
        <v>93</v>
      </c>
      <c r="S107" s="5">
        <v>15</v>
      </c>
      <c r="T107" s="3">
        <v>6</v>
      </c>
      <c r="U107" s="4" t="str">
        <f t="shared" si="12"/>
        <v>Before_time</v>
      </c>
      <c r="V107">
        <v>64</v>
      </c>
      <c r="W107" s="3">
        <f t="shared" si="13"/>
        <v>2</v>
      </c>
      <c r="X107" s="2">
        <v>45532</v>
      </c>
      <c r="Y107" s="1">
        <f>YEAR(Table2[[#This Row],[Delivery_Date]])</f>
        <v>2024</v>
      </c>
      <c r="Z107" s="2" t="str">
        <f t="shared" si="14"/>
        <v>Aug</v>
      </c>
      <c r="AA107" t="s">
        <v>1703</v>
      </c>
      <c r="AB107">
        <f t="shared" si="15"/>
        <v>631.88499999999999</v>
      </c>
      <c r="AC107">
        <f>Table2[[#This Row],[Price]]*Table2[[#This Row],[Quantity]]*Table2[[#This Row],[COUPON %]]/100</f>
        <v>100.215</v>
      </c>
      <c r="AD107">
        <f t="shared" si="16"/>
        <v>567.88499999999999</v>
      </c>
      <c r="AE107" s="1">
        <f t="shared" si="17"/>
        <v>668.1</v>
      </c>
    </row>
    <row r="108" spans="1:31" x14ac:dyDescent="0.25">
      <c r="A108" t="s">
        <v>101</v>
      </c>
      <c r="B108" t="str">
        <f t="shared" si="9"/>
        <v xml:space="preserve">Gregory Lee </v>
      </c>
      <c r="C108" t="s">
        <v>100</v>
      </c>
      <c r="D108" t="s">
        <v>99</v>
      </c>
      <c r="E108">
        <v>26</v>
      </c>
      <c r="F108" t="str">
        <f t="shared" si="10"/>
        <v>26-35</v>
      </c>
      <c r="G108" t="s">
        <v>8</v>
      </c>
      <c r="H108" t="s">
        <v>28</v>
      </c>
      <c r="I108" t="s">
        <v>98</v>
      </c>
      <c r="J108" t="str">
        <f t="shared" si="11"/>
        <v>rediffmail.com</v>
      </c>
      <c r="K108" t="s">
        <v>97</v>
      </c>
      <c r="L108" t="s">
        <v>1702</v>
      </c>
      <c r="M108" s="2">
        <v>45432</v>
      </c>
      <c r="N108" t="s">
        <v>1701</v>
      </c>
      <c r="O108" t="s">
        <v>140</v>
      </c>
      <c r="P108">
        <v>308.88</v>
      </c>
      <c r="Q108">
        <v>2</v>
      </c>
      <c r="R108" t="s">
        <v>64</v>
      </c>
      <c r="S108" s="5">
        <v>20</v>
      </c>
      <c r="T108" s="3">
        <v>4</v>
      </c>
      <c r="U108" s="4" t="str">
        <f t="shared" si="12"/>
        <v>On_time</v>
      </c>
      <c r="V108">
        <v>61</v>
      </c>
      <c r="W108" s="3">
        <f t="shared" si="13"/>
        <v>4</v>
      </c>
      <c r="X108" s="2">
        <v>45436</v>
      </c>
      <c r="Y108" s="1">
        <f>YEAR(Table2[[#This Row],[Delivery_Date]])</f>
        <v>2024</v>
      </c>
      <c r="Z108" s="2" t="str">
        <f t="shared" si="14"/>
        <v>May</v>
      </c>
      <c r="AA108" t="s">
        <v>1700</v>
      </c>
      <c r="AB108">
        <f t="shared" si="15"/>
        <v>555.20800000000008</v>
      </c>
      <c r="AC108">
        <f>Table2[[#This Row],[Price]]*Table2[[#This Row],[Quantity]]*Table2[[#This Row],[COUPON %]]/100</f>
        <v>123.55200000000001</v>
      </c>
      <c r="AD108">
        <f t="shared" si="16"/>
        <v>494.20800000000003</v>
      </c>
      <c r="AE108" s="1">
        <f t="shared" si="17"/>
        <v>617.76</v>
      </c>
    </row>
    <row r="109" spans="1:31" x14ac:dyDescent="0.25">
      <c r="A109" t="s">
        <v>11</v>
      </c>
      <c r="B109" t="str">
        <f t="shared" si="9"/>
        <v xml:space="preserve">Angela Evans </v>
      </c>
      <c r="C109" t="s">
        <v>10</v>
      </c>
      <c r="D109" t="s">
        <v>9</v>
      </c>
      <c r="E109">
        <v>52</v>
      </c>
      <c r="F109" t="str">
        <f t="shared" si="10"/>
        <v>&gt;45</v>
      </c>
      <c r="G109" t="s">
        <v>8</v>
      </c>
      <c r="H109" t="s">
        <v>7</v>
      </c>
      <c r="I109" t="s">
        <v>6</v>
      </c>
      <c r="J109" t="str">
        <f t="shared" si="11"/>
        <v>outlook.com</v>
      </c>
      <c r="K109" t="s">
        <v>5</v>
      </c>
      <c r="L109" t="s">
        <v>1699</v>
      </c>
      <c r="M109" s="2">
        <v>45427</v>
      </c>
      <c r="N109" t="s">
        <v>1698</v>
      </c>
      <c r="O109" t="s">
        <v>220</v>
      </c>
      <c r="P109">
        <v>461.07</v>
      </c>
      <c r="Q109">
        <v>1</v>
      </c>
      <c r="R109" t="s">
        <v>64</v>
      </c>
      <c r="S109" s="5">
        <v>20</v>
      </c>
      <c r="T109" s="3">
        <v>7</v>
      </c>
      <c r="U109" s="4" t="str">
        <f t="shared" si="12"/>
        <v>On_time</v>
      </c>
      <c r="V109">
        <v>57</v>
      </c>
      <c r="W109" s="3">
        <f t="shared" si="13"/>
        <v>7</v>
      </c>
      <c r="X109" s="2">
        <v>45434</v>
      </c>
      <c r="Y109" s="1">
        <f>YEAR(Table2[[#This Row],[Delivery_Date]])</f>
        <v>2024</v>
      </c>
      <c r="Z109" s="2" t="str">
        <f t="shared" si="14"/>
        <v>May</v>
      </c>
      <c r="AA109" t="s">
        <v>1697</v>
      </c>
      <c r="AB109">
        <f t="shared" si="15"/>
        <v>425.85599999999999</v>
      </c>
      <c r="AC109">
        <f>Table2[[#This Row],[Price]]*Table2[[#This Row],[Quantity]]*Table2[[#This Row],[COUPON %]]/100</f>
        <v>92.213999999999999</v>
      </c>
      <c r="AD109">
        <f t="shared" si="16"/>
        <v>368.85599999999999</v>
      </c>
      <c r="AE109" s="1">
        <f t="shared" si="17"/>
        <v>461.07</v>
      </c>
    </row>
    <row r="110" spans="1:31" x14ac:dyDescent="0.25">
      <c r="A110" t="s">
        <v>665</v>
      </c>
      <c r="B110" t="str">
        <f t="shared" si="9"/>
        <v xml:space="preserve">Bruce Allen </v>
      </c>
      <c r="C110" t="s">
        <v>664</v>
      </c>
      <c r="D110" t="s">
        <v>663</v>
      </c>
      <c r="E110">
        <v>32</v>
      </c>
      <c r="F110" t="str">
        <f t="shared" si="10"/>
        <v>26-35</v>
      </c>
      <c r="G110" t="s">
        <v>29</v>
      </c>
      <c r="H110" t="s">
        <v>107</v>
      </c>
      <c r="I110" t="s">
        <v>662</v>
      </c>
      <c r="J110" t="str">
        <f t="shared" si="11"/>
        <v>rediffmail.com</v>
      </c>
      <c r="K110" t="s">
        <v>661</v>
      </c>
      <c r="L110" t="s">
        <v>1696</v>
      </c>
      <c r="M110" s="2">
        <v>45021</v>
      </c>
      <c r="N110" t="s">
        <v>1695</v>
      </c>
      <c r="O110" t="s">
        <v>264</v>
      </c>
      <c r="P110">
        <v>496.59</v>
      </c>
      <c r="Q110">
        <v>5</v>
      </c>
      <c r="R110" t="s">
        <v>64</v>
      </c>
      <c r="S110" s="5">
        <v>20</v>
      </c>
      <c r="T110" s="3">
        <v>1</v>
      </c>
      <c r="U110" s="4" t="str">
        <f t="shared" si="12"/>
        <v>Late_Delivery</v>
      </c>
      <c r="V110">
        <v>40</v>
      </c>
      <c r="W110" s="3">
        <f t="shared" si="13"/>
        <v>4</v>
      </c>
      <c r="X110" s="2">
        <v>45025</v>
      </c>
      <c r="Y110" s="1">
        <f>YEAR(Table2[[#This Row],[Delivery_Date]])</f>
        <v>2023</v>
      </c>
      <c r="Z110" s="2" t="str">
        <f t="shared" si="14"/>
        <v>Apr</v>
      </c>
      <c r="AA110" t="s">
        <v>1694</v>
      </c>
      <c r="AB110">
        <f t="shared" si="15"/>
        <v>2026.36</v>
      </c>
      <c r="AC110">
        <f>Table2[[#This Row],[Price]]*Table2[[#This Row],[Quantity]]*Table2[[#This Row],[COUPON %]]/100</f>
        <v>496.59</v>
      </c>
      <c r="AD110">
        <f t="shared" si="16"/>
        <v>1986.36</v>
      </c>
      <c r="AE110" s="1">
        <f t="shared" si="17"/>
        <v>2482.9499999999998</v>
      </c>
    </row>
    <row r="111" spans="1:31" x14ac:dyDescent="0.25">
      <c r="A111" t="s">
        <v>414</v>
      </c>
      <c r="B111" t="str">
        <f t="shared" si="9"/>
        <v xml:space="preserve">Lisa Miller </v>
      </c>
      <c r="C111" t="s">
        <v>413</v>
      </c>
      <c r="D111" t="s">
        <v>295</v>
      </c>
      <c r="E111">
        <v>70</v>
      </c>
      <c r="F111" t="str">
        <f t="shared" si="10"/>
        <v>&gt;45</v>
      </c>
      <c r="G111" t="s">
        <v>29</v>
      </c>
      <c r="H111" t="s">
        <v>118</v>
      </c>
      <c r="I111" t="s">
        <v>412</v>
      </c>
      <c r="J111" t="str">
        <f t="shared" si="11"/>
        <v>gmail.com</v>
      </c>
      <c r="K111" t="s">
        <v>411</v>
      </c>
      <c r="L111" t="s">
        <v>1693</v>
      </c>
      <c r="M111" s="2">
        <v>45005</v>
      </c>
      <c r="N111" t="s">
        <v>1692</v>
      </c>
      <c r="O111" t="s">
        <v>466</v>
      </c>
      <c r="P111">
        <v>104.18</v>
      </c>
      <c r="Q111">
        <v>2</v>
      </c>
      <c r="R111" t="s">
        <v>34</v>
      </c>
      <c r="S111" s="5">
        <v>8</v>
      </c>
      <c r="T111" s="3">
        <v>2</v>
      </c>
      <c r="U111" s="4" t="str">
        <f t="shared" si="12"/>
        <v>Late_Delivery</v>
      </c>
      <c r="V111">
        <v>40</v>
      </c>
      <c r="W111" s="3">
        <f t="shared" si="13"/>
        <v>5</v>
      </c>
      <c r="X111" s="2">
        <v>45010</v>
      </c>
      <c r="Y111" s="1">
        <f>YEAR(Table2[[#This Row],[Delivery_Date]])</f>
        <v>2023</v>
      </c>
      <c r="Z111" s="2" t="str">
        <f t="shared" si="14"/>
        <v>Mar</v>
      </c>
      <c r="AA111" t="s">
        <v>1691</v>
      </c>
      <c r="AB111">
        <f t="shared" si="15"/>
        <v>231.69120000000001</v>
      </c>
      <c r="AC111">
        <f>Table2[[#This Row],[Price]]*Table2[[#This Row],[Quantity]]*Table2[[#This Row],[COUPON %]]/100</f>
        <v>16.668800000000001</v>
      </c>
      <c r="AD111">
        <f t="shared" si="16"/>
        <v>191.69120000000001</v>
      </c>
      <c r="AE111" s="1">
        <f t="shared" si="17"/>
        <v>208.36</v>
      </c>
    </row>
    <row r="112" spans="1:31" x14ac:dyDescent="0.25">
      <c r="A112" t="s">
        <v>529</v>
      </c>
      <c r="B112" t="str">
        <f t="shared" si="9"/>
        <v xml:space="preserve">Melissa Levy </v>
      </c>
      <c r="C112" t="s">
        <v>528</v>
      </c>
      <c r="D112" t="s">
        <v>527</v>
      </c>
      <c r="E112">
        <v>30</v>
      </c>
      <c r="F112" t="str">
        <f t="shared" si="10"/>
        <v>26-35</v>
      </c>
      <c r="G112" t="s">
        <v>108</v>
      </c>
      <c r="H112" t="s">
        <v>40</v>
      </c>
      <c r="I112" t="s">
        <v>526</v>
      </c>
      <c r="J112" t="str">
        <f t="shared" si="11"/>
        <v>rediffmail.com</v>
      </c>
      <c r="K112" t="s">
        <v>525</v>
      </c>
      <c r="L112" t="s">
        <v>1690</v>
      </c>
      <c r="M112" s="2">
        <v>45406</v>
      </c>
      <c r="N112" t="s">
        <v>1689</v>
      </c>
      <c r="O112" t="s">
        <v>1166</v>
      </c>
      <c r="P112">
        <v>110.95</v>
      </c>
      <c r="Q112">
        <v>2</v>
      </c>
      <c r="R112" t="s">
        <v>34</v>
      </c>
      <c r="S112" s="5">
        <v>8</v>
      </c>
      <c r="T112" s="3">
        <v>4</v>
      </c>
      <c r="U112" s="4" t="str">
        <f t="shared" si="12"/>
        <v>Before_time</v>
      </c>
      <c r="V112">
        <v>68</v>
      </c>
      <c r="W112" s="3">
        <f t="shared" si="13"/>
        <v>2</v>
      </c>
      <c r="X112" s="2">
        <v>45408</v>
      </c>
      <c r="Y112" s="1">
        <f>YEAR(Table2[[#This Row],[Delivery_Date]])</f>
        <v>2024</v>
      </c>
      <c r="Z112" s="2" t="str">
        <f t="shared" si="14"/>
        <v>Apr</v>
      </c>
      <c r="AA112" t="s">
        <v>1688</v>
      </c>
      <c r="AB112">
        <f t="shared" si="15"/>
        <v>272.14800000000002</v>
      </c>
      <c r="AC112">
        <f>Table2[[#This Row],[Price]]*Table2[[#This Row],[Quantity]]*Table2[[#This Row],[COUPON %]]/100</f>
        <v>17.751999999999999</v>
      </c>
      <c r="AD112">
        <f t="shared" si="16"/>
        <v>204.14800000000002</v>
      </c>
      <c r="AE112" s="1">
        <f t="shared" si="17"/>
        <v>221.9</v>
      </c>
    </row>
    <row r="113" spans="1:31" x14ac:dyDescent="0.25">
      <c r="A113" t="s">
        <v>218</v>
      </c>
      <c r="B113" t="str">
        <f t="shared" si="9"/>
        <v xml:space="preserve">Beth Mason </v>
      </c>
      <c r="C113" t="s">
        <v>217</v>
      </c>
      <c r="D113" t="s">
        <v>216</v>
      </c>
      <c r="E113">
        <v>45</v>
      </c>
      <c r="F113" t="str">
        <f t="shared" si="10"/>
        <v>36-45</v>
      </c>
      <c r="G113" t="s">
        <v>8</v>
      </c>
      <c r="H113" t="s">
        <v>118</v>
      </c>
      <c r="I113" t="s">
        <v>215</v>
      </c>
      <c r="J113" t="str">
        <f t="shared" si="11"/>
        <v>outlook.com</v>
      </c>
      <c r="K113" t="s">
        <v>214</v>
      </c>
      <c r="L113" t="s">
        <v>1687</v>
      </c>
      <c r="M113" s="2">
        <v>45665</v>
      </c>
      <c r="N113" t="s">
        <v>1686</v>
      </c>
      <c r="O113" t="s">
        <v>264</v>
      </c>
      <c r="P113">
        <v>496.59</v>
      </c>
      <c r="Q113">
        <v>2</v>
      </c>
      <c r="R113" t="s">
        <v>1</v>
      </c>
      <c r="S113" s="5">
        <v>0</v>
      </c>
      <c r="T113" s="3">
        <v>5</v>
      </c>
      <c r="U113" s="4" t="str">
        <f t="shared" si="12"/>
        <v>Before_time</v>
      </c>
      <c r="V113">
        <v>40</v>
      </c>
      <c r="W113" s="3">
        <f t="shared" si="13"/>
        <v>2</v>
      </c>
      <c r="X113" s="2">
        <v>45667</v>
      </c>
      <c r="Y113" s="1">
        <f>YEAR(Table2[[#This Row],[Delivery_Date]])</f>
        <v>2025</v>
      </c>
      <c r="Z113" s="2" t="str">
        <f t="shared" si="14"/>
        <v>Jan</v>
      </c>
      <c r="AA113" t="s">
        <v>1685</v>
      </c>
      <c r="AB113">
        <f t="shared" si="15"/>
        <v>1033.1799999999998</v>
      </c>
      <c r="AC113">
        <f>Table2[[#This Row],[Price]]*Table2[[#This Row],[Quantity]]*Table2[[#This Row],[COUPON %]]/100</f>
        <v>0</v>
      </c>
      <c r="AD113">
        <f t="shared" si="16"/>
        <v>993.18</v>
      </c>
      <c r="AE113" s="1">
        <f t="shared" si="17"/>
        <v>993.18</v>
      </c>
    </row>
    <row r="114" spans="1:31" x14ac:dyDescent="0.25">
      <c r="A114" t="s">
        <v>1092</v>
      </c>
      <c r="B114" t="str">
        <f t="shared" si="9"/>
        <v xml:space="preserve">Mitchell Parker </v>
      </c>
      <c r="C114" t="s">
        <v>162</v>
      </c>
      <c r="D114" t="s">
        <v>145</v>
      </c>
      <c r="E114">
        <v>39</v>
      </c>
      <c r="F114" t="str">
        <f t="shared" si="10"/>
        <v>36-45</v>
      </c>
      <c r="G114" t="s">
        <v>8</v>
      </c>
      <c r="H114" t="s">
        <v>7</v>
      </c>
      <c r="I114" t="s">
        <v>1091</v>
      </c>
      <c r="J114" t="str">
        <f t="shared" si="11"/>
        <v>yahoo.com</v>
      </c>
      <c r="K114" t="s">
        <v>1090</v>
      </c>
      <c r="L114" t="s">
        <v>1684</v>
      </c>
      <c r="M114" s="2">
        <v>45397</v>
      </c>
      <c r="N114" t="s">
        <v>676</v>
      </c>
      <c r="O114" t="s">
        <v>343</v>
      </c>
      <c r="P114">
        <v>257.06</v>
      </c>
      <c r="Q114">
        <v>4</v>
      </c>
      <c r="R114" t="s">
        <v>64</v>
      </c>
      <c r="S114" s="5">
        <v>20</v>
      </c>
      <c r="T114" s="3">
        <v>3</v>
      </c>
      <c r="U114" s="4" t="str">
        <f t="shared" si="12"/>
        <v>Late_Delivery</v>
      </c>
      <c r="V114">
        <v>50</v>
      </c>
      <c r="W114" s="3">
        <f t="shared" si="13"/>
        <v>4</v>
      </c>
      <c r="X114" s="2">
        <v>45401</v>
      </c>
      <c r="Y114" s="1">
        <f>YEAR(Table2[[#This Row],[Delivery_Date]])</f>
        <v>2024</v>
      </c>
      <c r="Z114" s="2" t="str">
        <f t="shared" si="14"/>
        <v>Apr</v>
      </c>
      <c r="AA114" t="s">
        <v>1683</v>
      </c>
      <c r="AB114">
        <f t="shared" si="15"/>
        <v>872.5920000000001</v>
      </c>
      <c r="AC114">
        <f>Table2[[#This Row],[Price]]*Table2[[#This Row],[Quantity]]*Table2[[#This Row],[COUPON %]]/100</f>
        <v>205.648</v>
      </c>
      <c r="AD114">
        <f t="shared" si="16"/>
        <v>822.5920000000001</v>
      </c>
      <c r="AE114" s="1">
        <f t="shared" si="17"/>
        <v>1028.24</v>
      </c>
    </row>
    <row r="115" spans="1:31" x14ac:dyDescent="0.25">
      <c r="A115" t="s">
        <v>1489</v>
      </c>
      <c r="B115" t="str">
        <f t="shared" si="9"/>
        <v xml:space="preserve">Joseph Gaines </v>
      </c>
      <c r="C115" t="s">
        <v>128</v>
      </c>
      <c r="D115" t="s">
        <v>1488</v>
      </c>
      <c r="E115">
        <v>47</v>
      </c>
      <c r="F115" t="str">
        <f t="shared" si="10"/>
        <v>&gt;45</v>
      </c>
      <c r="G115" t="s">
        <v>8</v>
      </c>
      <c r="H115" t="s">
        <v>28</v>
      </c>
      <c r="I115" t="s">
        <v>1487</v>
      </c>
      <c r="J115" t="str">
        <f t="shared" si="11"/>
        <v>outlook.com</v>
      </c>
      <c r="K115" t="s">
        <v>1486</v>
      </c>
      <c r="L115" t="s">
        <v>1682</v>
      </c>
      <c r="M115" s="2">
        <v>45397</v>
      </c>
      <c r="N115" t="s">
        <v>1681</v>
      </c>
      <c r="O115" t="s">
        <v>312</v>
      </c>
      <c r="P115">
        <v>381.73</v>
      </c>
      <c r="Q115">
        <v>4</v>
      </c>
      <c r="R115" t="s">
        <v>166</v>
      </c>
      <c r="S115" s="5">
        <v>10</v>
      </c>
      <c r="T115" s="3">
        <v>1</v>
      </c>
      <c r="U115" s="4" t="str">
        <f t="shared" si="12"/>
        <v>Late_Delivery</v>
      </c>
      <c r="V115">
        <v>66</v>
      </c>
      <c r="W115" s="3">
        <f t="shared" si="13"/>
        <v>3</v>
      </c>
      <c r="X115" s="2">
        <v>45400</v>
      </c>
      <c r="Y115" s="1">
        <f>YEAR(Table2[[#This Row],[Delivery_Date]])</f>
        <v>2024</v>
      </c>
      <c r="Z115" s="2" t="str">
        <f t="shared" si="14"/>
        <v>Apr</v>
      </c>
      <c r="AA115" t="s">
        <v>1680</v>
      </c>
      <c r="AB115">
        <f t="shared" si="15"/>
        <v>1440.2280000000001</v>
      </c>
      <c r="AC115">
        <f>Table2[[#This Row],[Price]]*Table2[[#This Row],[Quantity]]*Table2[[#This Row],[COUPON %]]/100</f>
        <v>152.69200000000001</v>
      </c>
      <c r="AD115">
        <f t="shared" si="16"/>
        <v>1374.2280000000001</v>
      </c>
      <c r="AE115" s="1">
        <f t="shared" si="17"/>
        <v>1526.92</v>
      </c>
    </row>
    <row r="116" spans="1:31" x14ac:dyDescent="0.25">
      <c r="A116" t="s">
        <v>492</v>
      </c>
      <c r="B116" t="str">
        <f t="shared" si="9"/>
        <v xml:space="preserve">Barbara Fuller </v>
      </c>
      <c r="C116" t="s">
        <v>491</v>
      </c>
      <c r="D116" t="s">
        <v>490</v>
      </c>
      <c r="E116">
        <v>43</v>
      </c>
      <c r="F116" t="str">
        <f t="shared" si="10"/>
        <v>36-45</v>
      </c>
      <c r="G116" t="s">
        <v>8</v>
      </c>
      <c r="H116" t="s">
        <v>40</v>
      </c>
      <c r="I116" t="s">
        <v>489</v>
      </c>
      <c r="J116" t="str">
        <f t="shared" si="11"/>
        <v>rediffmail.com</v>
      </c>
      <c r="K116" t="s">
        <v>488</v>
      </c>
      <c r="L116" t="s">
        <v>1679</v>
      </c>
      <c r="M116" s="2">
        <v>45276</v>
      </c>
      <c r="N116" t="s">
        <v>1678</v>
      </c>
      <c r="O116" t="s">
        <v>303</v>
      </c>
      <c r="P116">
        <v>431.44</v>
      </c>
      <c r="Q116">
        <v>5</v>
      </c>
      <c r="R116" t="s">
        <v>93</v>
      </c>
      <c r="S116" s="5">
        <v>15</v>
      </c>
      <c r="T116" s="3">
        <v>4</v>
      </c>
      <c r="U116" s="4" t="str">
        <f t="shared" si="12"/>
        <v>On_time</v>
      </c>
      <c r="V116">
        <v>42</v>
      </c>
      <c r="W116" s="3">
        <f t="shared" si="13"/>
        <v>4</v>
      </c>
      <c r="X116" s="2">
        <v>45280</v>
      </c>
      <c r="Y116" s="1">
        <f>YEAR(Table2[[#This Row],[Delivery_Date]])</f>
        <v>2023</v>
      </c>
      <c r="Z116" s="2" t="str">
        <f t="shared" si="14"/>
        <v>Dec</v>
      </c>
      <c r="AA116" t="s">
        <v>1677</v>
      </c>
      <c r="AB116">
        <f t="shared" si="15"/>
        <v>1875.62</v>
      </c>
      <c r="AC116">
        <f>Table2[[#This Row],[Price]]*Table2[[#This Row],[Quantity]]*Table2[[#This Row],[COUPON %]]/100</f>
        <v>323.58</v>
      </c>
      <c r="AD116">
        <f t="shared" si="16"/>
        <v>1833.62</v>
      </c>
      <c r="AE116" s="1">
        <f t="shared" si="17"/>
        <v>2157.1999999999998</v>
      </c>
    </row>
    <row r="117" spans="1:31" x14ac:dyDescent="0.25">
      <c r="A117" t="s">
        <v>753</v>
      </c>
      <c r="B117" t="str">
        <f t="shared" si="9"/>
        <v xml:space="preserve">Brandon Cruz </v>
      </c>
      <c r="C117" t="s">
        <v>752</v>
      </c>
      <c r="D117" t="s">
        <v>751</v>
      </c>
      <c r="E117">
        <v>32</v>
      </c>
      <c r="F117" t="str">
        <f t="shared" si="10"/>
        <v>26-35</v>
      </c>
      <c r="G117" t="s">
        <v>8</v>
      </c>
      <c r="H117" t="s">
        <v>118</v>
      </c>
      <c r="I117" t="s">
        <v>750</v>
      </c>
      <c r="J117" t="str">
        <f t="shared" si="11"/>
        <v>gmail.com</v>
      </c>
      <c r="K117" t="s">
        <v>749</v>
      </c>
      <c r="L117" t="s">
        <v>1676</v>
      </c>
      <c r="M117" s="2">
        <v>45131</v>
      </c>
      <c r="N117" t="s">
        <v>1675</v>
      </c>
      <c r="O117" t="s">
        <v>714</v>
      </c>
      <c r="P117">
        <v>175.93</v>
      </c>
      <c r="Q117">
        <v>5</v>
      </c>
      <c r="R117" t="s">
        <v>1</v>
      </c>
      <c r="S117" s="5">
        <v>0</v>
      </c>
      <c r="T117" s="3">
        <v>5</v>
      </c>
      <c r="U117" s="4" t="str">
        <f t="shared" si="12"/>
        <v>Late_Delivery</v>
      </c>
      <c r="V117">
        <v>63</v>
      </c>
      <c r="W117" s="3">
        <f t="shared" si="13"/>
        <v>7</v>
      </c>
      <c r="X117" s="2">
        <v>45138</v>
      </c>
      <c r="Y117" s="1">
        <f>YEAR(Table2[[#This Row],[Delivery_Date]])</f>
        <v>2023</v>
      </c>
      <c r="Z117" s="2" t="str">
        <f t="shared" si="14"/>
        <v>Jul</v>
      </c>
      <c r="AA117" t="s">
        <v>1674</v>
      </c>
      <c r="AB117">
        <f t="shared" si="15"/>
        <v>942.65000000000009</v>
      </c>
      <c r="AC117">
        <f>Table2[[#This Row],[Price]]*Table2[[#This Row],[Quantity]]*Table2[[#This Row],[COUPON %]]/100</f>
        <v>0</v>
      </c>
      <c r="AD117">
        <f t="shared" si="16"/>
        <v>879.65000000000009</v>
      </c>
      <c r="AE117" s="1">
        <f t="shared" si="17"/>
        <v>879.65000000000009</v>
      </c>
    </row>
    <row r="118" spans="1:31" x14ac:dyDescent="0.25">
      <c r="A118" t="s">
        <v>1527</v>
      </c>
      <c r="B118" t="str">
        <f t="shared" si="9"/>
        <v xml:space="preserve">Bobby Forbes </v>
      </c>
      <c r="C118" t="s">
        <v>1526</v>
      </c>
      <c r="D118" t="s">
        <v>1525</v>
      </c>
      <c r="E118">
        <v>20</v>
      </c>
      <c r="F118" t="str">
        <f t="shared" si="10"/>
        <v>0-25</v>
      </c>
      <c r="G118" t="s">
        <v>108</v>
      </c>
      <c r="H118" t="s">
        <v>118</v>
      </c>
      <c r="I118" t="s">
        <v>1524</v>
      </c>
      <c r="J118" t="str">
        <f t="shared" si="11"/>
        <v>gmail.com</v>
      </c>
      <c r="K118" t="s">
        <v>1523</v>
      </c>
      <c r="L118" t="s">
        <v>1673</v>
      </c>
      <c r="M118" s="2">
        <v>45156</v>
      </c>
      <c r="N118" t="s">
        <v>1672</v>
      </c>
      <c r="O118" t="s">
        <v>569</v>
      </c>
      <c r="P118">
        <v>202.54</v>
      </c>
      <c r="Q118">
        <v>5</v>
      </c>
      <c r="R118" t="s">
        <v>34</v>
      </c>
      <c r="S118" s="5">
        <v>8</v>
      </c>
      <c r="T118" s="3">
        <v>2</v>
      </c>
      <c r="U118" s="4" t="str">
        <f t="shared" si="12"/>
        <v>Late_Delivery</v>
      </c>
      <c r="V118">
        <v>68</v>
      </c>
      <c r="W118" s="3">
        <f t="shared" si="13"/>
        <v>3</v>
      </c>
      <c r="X118" s="2">
        <v>45159</v>
      </c>
      <c r="Y118" s="1">
        <f>YEAR(Table2[[#This Row],[Delivery_Date]])</f>
        <v>2023</v>
      </c>
      <c r="Z118" s="2" t="str">
        <f t="shared" si="14"/>
        <v>Aug</v>
      </c>
      <c r="AA118" t="s">
        <v>1671</v>
      </c>
      <c r="AB118">
        <f t="shared" si="15"/>
        <v>999.68399999999997</v>
      </c>
      <c r="AC118">
        <f>Table2[[#This Row],[Price]]*Table2[[#This Row],[Quantity]]*Table2[[#This Row],[COUPON %]]/100</f>
        <v>81.015999999999991</v>
      </c>
      <c r="AD118">
        <f t="shared" si="16"/>
        <v>931.68399999999997</v>
      </c>
      <c r="AE118" s="1">
        <f t="shared" si="17"/>
        <v>1012.6999999999999</v>
      </c>
    </row>
    <row r="119" spans="1:31" x14ac:dyDescent="0.25">
      <c r="A119" t="s">
        <v>476</v>
      </c>
      <c r="B119" t="str">
        <f t="shared" si="9"/>
        <v xml:space="preserve">Kelli Smith </v>
      </c>
      <c r="C119" t="s">
        <v>475</v>
      </c>
      <c r="D119" t="s">
        <v>204</v>
      </c>
      <c r="E119">
        <v>18</v>
      </c>
      <c r="F119" t="str">
        <f t="shared" si="10"/>
        <v>0-25</v>
      </c>
      <c r="G119" t="s">
        <v>29</v>
      </c>
      <c r="H119" t="s">
        <v>7</v>
      </c>
      <c r="I119" t="s">
        <v>474</v>
      </c>
      <c r="J119" t="str">
        <f t="shared" si="11"/>
        <v>rediffmail.com</v>
      </c>
      <c r="K119" t="s">
        <v>473</v>
      </c>
      <c r="L119" t="s">
        <v>1670</v>
      </c>
      <c r="M119" s="2">
        <v>45023</v>
      </c>
      <c r="N119" t="s">
        <v>1669</v>
      </c>
      <c r="O119" t="s">
        <v>343</v>
      </c>
      <c r="P119">
        <v>257.06</v>
      </c>
      <c r="Q119">
        <v>4</v>
      </c>
      <c r="R119" t="s">
        <v>166</v>
      </c>
      <c r="S119" s="5">
        <v>10</v>
      </c>
      <c r="T119" s="3">
        <v>1</v>
      </c>
      <c r="U119" s="4" t="str">
        <f t="shared" si="12"/>
        <v>Late_Delivery</v>
      </c>
      <c r="V119">
        <v>65</v>
      </c>
      <c r="W119" s="3">
        <f t="shared" si="13"/>
        <v>2</v>
      </c>
      <c r="X119" s="2">
        <v>45025</v>
      </c>
      <c r="Y119" s="1">
        <f>YEAR(Table2[[#This Row],[Delivery_Date]])</f>
        <v>2023</v>
      </c>
      <c r="Z119" s="2" t="str">
        <f t="shared" si="14"/>
        <v>Apr</v>
      </c>
      <c r="AA119" t="s">
        <v>1668</v>
      </c>
      <c r="AB119">
        <f t="shared" si="15"/>
        <v>990.41600000000005</v>
      </c>
      <c r="AC119">
        <f>Table2[[#This Row],[Price]]*Table2[[#This Row],[Quantity]]*Table2[[#This Row],[COUPON %]]/100</f>
        <v>102.824</v>
      </c>
      <c r="AD119">
        <f t="shared" si="16"/>
        <v>925.41600000000005</v>
      </c>
      <c r="AE119" s="1">
        <f t="shared" si="17"/>
        <v>1028.24</v>
      </c>
    </row>
    <row r="120" spans="1:31" x14ac:dyDescent="0.25">
      <c r="A120" t="s">
        <v>884</v>
      </c>
      <c r="B120" t="str">
        <f t="shared" si="9"/>
        <v xml:space="preserve">Kristina Haynes </v>
      </c>
      <c r="C120" t="s">
        <v>883</v>
      </c>
      <c r="D120" t="s">
        <v>882</v>
      </c>
      <c r="E120">
        <v>27</v>
      </c>
      <c r="F120" t="str">
        <f t="shared" si="10"/>
        <v>26-35</v>
      </c>
      <c r="G120" t="s">
        <v>108</v>
      </c>
      <c r="H120" t="s">
        <v>7</v>
      </c>
      <c r="I120" t="s">
        <v>881</v>
      </c>
      <c r="J120" t="str">
        <f t="shared" si="11"/>
        <v>yahoo.com</v>
      </c>
      <c r="K120" t="s">
        <v>880</v>
      </c>
      <c r="L120" t="s">
        <v>1667</v>
      </c>
      <c r="M120" s="2">
        <v>45183</v>
      </c>
      <c r="N120" t="s">
        <v>1666</v>
      </c>
      <c r="O120" t="s">
        <v>531</v>
      </c>
      <c r="P120">
        <v>20</v>
      </c>
      <c r="Q120">
        <v>1</v>
      </c>
      <c r="R120" t="s">
        <v>166</v>
      </c>
      <c r="S120" s="5">
        <v>10</v>
      </c>
      <c r="T120" s="3">
        <v>4</v>
      </c>
      <c r="U120" s="4" t="str">
        <f t="shared" si="12"/>
        <v>Before_time</v>
      </c>
      <c r="V120">
        <v>68</v>
      </c>
      <c r="W120" s="3">
        <f t="shared" si="13"/>
        <v>2</v>
      </c>
      <c r="X120" s="2">
        <v>45185</v>
      </c>
      <c r="Y120" s="1">
        <f>YEAR(Table2[[#This Row],[Delivery_Date]])</f>
        <v>2023</v>
      </c>
      <c r="Z120" s="2" t="str">
        <f t="shared" si="14"/>
        <v>Sep</v>
      </c>
      <c r="AA120" t="s">
        <v>1665</v>
      </c>
      <c r="AB120">
        <f t="shared" si="15"/>
        <v>86</v>
      </c>
      <c r="AC120">
        <f>Table2[[#This Row],[Price]]*Table2[[#This Row],[Quantity]]*Table2[[#This Row],[COUPON %]]/100</f>
        <v>2</v>
      </c>
      <c r="AD120">
        <f t="shared" si="16"/>
        <v>18</v>
      </c>
      <c r="AE120" s="1">
        <f t="shared" si="17"/>
        <v>20</v>
      </c>
    </row>
    <row r="121" spans="1:31" x14ac:dyDescent="0.25">
      <c r="A121" t="s">
        <v>1264</v>
      </c>
      <c r="B121" t="str">
        <f t="shared" si="9"/>
        <v xml:space="preserve">Lindsey Byrd </v>
      </c>
      <c r="C121" t="s">
        <v>1263</v>
      </c>
      <c r="D121" t="s">
        <v>1262</v>
      </c>
      <c r="E121">
        <v>32</v>
      </c>
      <c r="F121" t="str">
        <f t="shared" si="10"/>
        <v>26-35</v>
      </c>
      <c r="G121" t="s">
        <v>108</v>
      </c>
      <c r="H121" t="s">
        <v>40</v>
      </c>
      <c r="I121" t="s">
        <v>1261</v>
      </c>
      <c r="J121" t="str">
        <f t="shared" si="11"/>
        <v>rediffmail.com</v>
      </c>
      <c r="K121" t="s">
        <v>1260</v>
      </c>
      <c r="L121" t="s">
        <v>1664</v>
      </c>
      <c r="M121" s="2">
        <v>45106</v>
      </c>
      <c r="N121" t="s">
        <v>1663</v>
      </c>
      <c r="O121" t="s">
        <v>65</v>
      </c>
      <c r="P121">
        <v>20.7</v>
      </c>
      <c r="Q121">
        <v>2</v>
      </c>
      <c r="R121" t="s">
        <v>1</v>
      </c>
      <c r="S121" s="5">
        <v>0</v>
      </c>
      <c r="T121" s="3">
        <v>7</v>
      </c>
      <c r="U121" s="4" t="str">
        <f t="shared" si="12"/>
        <v>Before_time</v>
      </c>
      <c r="V121">
        <v>43</v>
      </c>
      <c r="W121" s="3">
        <f t="shared" si="13"/>
        <v>1</v>
      </c>
      <c r="X121" s="2">
        <v>45107</v>
      </c>
      <c r="Y121" s="1">
        <f>YEAR(Table2[[#This Row],[Delivery_Date]])</f>
        <v>2023</v>
      </c>
      <c r="Z121" s="2" t="str">
        <f t="shared" si="14"/>
        <v>Jun</v>
      </c>
      <c r="AA121" t="s">
        <v>1662</v>
      </c>
      <c r="AB121">
        <f t="shared" si="15"/>
        <v>84.4</v>
      </c>
      <c r="AC121">
        <f>Table2[[#This Row],[Price]]*Table2[[#This Row],[Quantity]]*Table2[[#This Row],[COUPON %]]/100</f>
        <v>0</v>
      </c>
      <c r="AD121">
        <f t="shared" si="16"/>
        <v>41.4</v>
      </c>
      <c r="AE121" s="1">
        <f t="shared" si="17"/>
        <v>41.4</v>
      </c>
    </row>
    <row r="122" spans="1:31" x14ac:dyDescent="0.25">
      <c r="A122" t="s">
        <v>761</v>
      </c>
      <c r="B122" t="str">
        <f t="shared" si="9"/>
        <v xml:space="preserve">Joshua Campbell </v>
      </c>
      <c r="C122" t="s">
        <v>760</v>
      </c>
      <c r="D122" t="s">
        <v>759</v>
      </c>
      <c r="E122">
        <v>24</v>
      </c>
      <c r="F122" t="str">
        <f t="shared" si="10"/>
        <v>0-25</v>
      </c>
      <c r="G122" t="s">
        <v>108</v>
      </c>
      <c r="H122" t="s">
        <v>40</v>
      </c>
      <c r="I122" t="s">
        <v>758</v>
      </c>
      <c r="J122" t="str">
        <f t="shared" si="11"/>
        <v>gmail.com</v>
      </c>
      <c r="K122" t="s">
        <v>757</v>
      </c>
      <c r="L122" t="s">
        <v>1661</v>
      </c>
      <c r="M122" s="2">
        <v>45003</v>
      </c>
      <c r="N122" t="s">
        <v>1660</v>
      </c>
      <c r="O122" t="s">
        <v>312</v>
      </c>
      <c r="P122">
        <v>381.73</v>
      </c>
      <c r="Q122">
        <v>2</v>
      </c>
      <c r="R122" t="s">
        <v>1</v>
      </c>
      <c r="S122" s="5">
        <v>0</v>
      </c>
      <c r="T122" s="3">
        <v>6</v>
      </c>
      <c r="U122" s="4" t="str">
        <f t="shared" si="12"/>
        <v>Before_time</v>
      </c>
      <c r="V122">
        <v>41</v>
      </c>
      <c r="W122" s="3">
        <f t="shared" si="13"/>
        <v>5</v>
      </c>
      <c r="X122" s="2">
        <v>45008</v>
      </c>
      <c r="Y122" s="1">
        <f>YEAR(Table2[[#This Row],[Delivery_Date]])</f>
        <v>2023</v>
      </c>
      <c r="Z122" s="2" t="str">
        <f t="shared" si="14"/>
        <v>Mar</v>
      </c>
      <c r="AA122" t="s">
        <v>1659</v>
      </c>
      <c r="AB122">
        <f t="shared" si="15"/>
        <v>804.46</v>
      </c>
      <c r="AC122">
        <f>Table2[[#This Row],[Price]]*Table2[[#This Row],[Quantity]]*Table2[[#This Row],[COUPON %]]/100</f>
        <v>0</v>
      </c>
      <c r="AD122">
        <f t="shared" si="16"/>
        <v>763.46</v>
      </c>
      <c r="AE122" s="1">
        <f t="shared" si="17"/>
        <v>763.46</v>
      </c>
    </row>
    <row r="123" spans="1:31" x14ac:dyDescent="0.25">
      <c r="A123" t="s">
        <v>243</v>
      </c>
      <c r="B123" t="str">
        <f t="shared" si="9"/>
        <v xml:space="preserve">Heather Schneider </v>
      </c>
      <c r="C123" t="s">
        <v>242</v>
      </c>
      <c r="D123" t="s">
        <v>241</v>
      </c>
      <c r="E123">
        <v>48</v>
      </c>
      <c r="F123" t="str">
        <f t="shared" si="10"/>
        <v>&gt;45</v>
      </c>
      <c r="G123" t="s">
        <v>29</v>
      </c>
      <c r="H123" t="s">
        <v>118</v>
      </c>
      <c r="I123" t="s">
        <v>240</v>
      </c>
      <c r="J123" t="str">
        <f t="shared" si="11"/>
        <v>outlook.com</v>
      </c>
      <c r="K123" t="s">
        <v>239</v>
      </c>
      <c r="L123" t="s">
        <v>1658</v>
      </c>
      <c r="M123" s="2">
        <v>45499</v>
      </c>
      <c r="N123" t="s">
        <v>1657</v>
      </c>
      <c r="O123" t="s">
        <v>149</v>
      </c>
      <c r="P123">
        <v>481.48</v>
      </c>
      <c r="Q123">
        <v>1</v>
      </c>
      <c r="R123" t="s">
        <v>34</v>
      </c>
      <c r="S123" s="5">
        <v>8</v>
      </c>
      <c r="T123" s="3">
        <v>1</v>
      </c>
      <c r="U123" s="4" t="str">
        <f t="shared" si="12"/>
        <v>Late_Delivery</v>
      </c>
      <c r="V123">
        <v>69</v>
      </c>
      <c r="W123" s="3">
        <f t="shared" si="13"/>
        <v>4</v>
      </c>
      <c r="X123" s="2">
        <v>45503</v>
      </c>
      <c r="Y123" s="1">
        <f>YEAR(Table2[[#This Row],[Delivery_Date]])</f>
        <v>2024</v>
      </c>
      <c r="Z123" s="2" t="str">
        <f t="shared" si="14"/>
        <v>Jul</v>
      </c>
      <c r="AA123" t="s">
        <v>1656</v>
      </c>
      <c r="AB123">
        <f t="shared" si="15"/>
        <v>511.96160000000003</v>
      </c>
      <c r="AC123">
        <f>Table2[[#This Row],[Price]]*Table2[[#This Row],[Quantity]]*Table2[[#This Row],[COUPON %]]/100</f>
        <v>38.5184</v>
      </c>
      <c r="AD123">
        <f t="shared" si="16"/>
        <v>442.96160000000003</v>
      </c>
      <c r="AE123" s="1">
        <f t="shared" si="17"/>
        <v>481.48</v>
      </c>
    </row>
    <row r="124" spans="1:31" x14ac:dyDescent="0.25">
      <c r="A124" t="s">
        <v>1368</v>
      </c>
      <c r="B124" t="str">
        <f t="shared" si="9"/>
        <v xml:space="preserve">Jason Nguyen </v>
      </c>
      <c r="C124" t="s">
        <v>629</v>
      </c>
      <c r="D124" t="s">
        <v>1367</v>
      </c>
      <c r="E124">
        <v>51</v>
      </c>
      <c r="F124" t="str">
        <f t="shared" si="10"/>
        <v>&gt;45</v>
      </c>
      <c r="G124" t="s">
        <v>8</v>
      </c>
      <c r="H124" t="s">
        <v>59</v>
      </c>
      <c r="I124" t="s">
        <v>1366</v>
      </c>
      <c r="J124" t="str">
        <f t="shared" si="11"/>
        <v>yahoo.com</v>
      </c>
      <c r="K124" t="s">
        <v>1365</v>
      </c>
      <c r="L124" t="s">
        <v>1655</v>
      </c>
      <c r="M124" s="2">
        <v>45335</v>
      </c>
      <c r="N124" t="s">
        <v>1654</v>
      </c>
      <c r="O124" t="s">
        <v>233</v>
      </c>
      <c r="P124">
        <v>77.84</v>
      </c>
      <c r="Q124">
        <v>2</v>
      </c>
      <c r="R124" t="s">
        <v>34</v>
      </c>
      <c r="S124" s="5">
        <v>8</v>
      </c>
      <c r="T124" s="3">
        <v>6</v>
      </c>
      <c r="U124" s="4" t="str">
        <f t="shared" si="12"/>
        <v>On_time</v>
      </c>
      <c r="V124">
        <v>36</v>
      </c>
      <c r="W124" s="3">
        <f t="shared" si="13"/>
        <v>6</v>
      </c>
      <c r="X124" s="2">
        <v>45341</v>
      </c>
      <c r="Y124" s="1">
        <f>YEAR(Table2[[#This Row],[Delivery_Date]])</f>
        <v>2024</v>
      </c>
      <c r="Z124" s="2" t="str">
        <f t="shared" si="14"/>
        <v>Feb</v>
      </c>
      <c r="AA124" t="s">
        <v>1653</v>
      </c>
      <c r="AB124">
        <f t="shared" si="15"/>
        <v>179.22560000000001</v>
      </c>
      <c r="AC124">
        <f>Table2[[#This Row],[Price]]*Table2[[#This Row],[Quantity]]*Table2[[#This Row],[COUPON %]]/100</f>
        <v>12.4544</v>
      </c>
      <c r="AD124">
        <f t="shared" si="16"/>
        <v>143.22560000000001</v>
      </c>
      <c r="AE124" s="1">
        <f t="shared" si="17"/>
        <v>155.68</v>
      </c>
    </row>
    <row r="125" spans="1:31" x14ac:dyDescent="0.25">
      <c r="A125" t="s">
        <v>630</v>
      </c>
      <c r="B125" t="str">
        <f t="shared" si="9"/>
        <v xml:space="preserve">Jason Lopez </v>
      </c>
      <c r="C125" t="s">
        <v>629</v>
      </c>
      <c r="D125" t="s">
        <v>596</v>
      </c>
      <c r="E125">
        <v>40</v>
      </c>
      <c r="F125" t="str">
        <f t="shared" si="10"/>
        <v>36-45</v>
      </c>
      <c r="G125" t="s">
        <v>8</v>
      </c>
      <c r="H125" t="s">
        <v>79</v>
      </c>
      <c r="I125" t="s">
        <v>628</v>
      </c>
      <c r="J125" t="str">
        <f t="shared" si="11"/>
        <v>outlook.com</v>
      </c>
      <c r="K125" t="s">
        <v>627</v>
      </c>
      <c r="L125" t="s">
        <v>1652</v>
      </c>
      <c r="M125" s="2">
        <v>45186</v>
      </c>
      <c r="N125" t="s">
        <v>1651</v>
      </c>
      <c r="O125" t="s">
        <v>519</v>
      </c>
      <c r="P125">
        <v>136.30000000000001</v>
      </c>
      <c r="Q125">
        <v>1</v>
      </c>
      <c r="R125" t="s">
        <v>64</v>
      </c>
      <c r="S125" s="5">
        <v>20</v>
      </c>
      <c r="T125" s="3">
        <v>4</v>
      </c>
      <c r="U125" s="4" t="str">
        <f t="shared" si="12"/>
        <v>Before_time</v>
      </c>
      <c r="V125">
        <v>41</v>
      </c>
      <c r="W125" s="3">
        <f t="shared" si="13"/>
        <v>3</v>
      </c>
      <c r="X125" s="2">
        <v>45189</v>
      </c>
      <c r="Y125" s="1">
        <f>YEAR(Table2[[#This Row],[Delivery_Date]])</f>
        <v>2023</v>
      </c>
      <c r="Z125" s="2" t="str">
        <f t="shared" si="14"/>
        <v>Sep</v>
      </c>
      <c r="AA125" t="s">
        <v>1650</v>
      </c>
      <c r="AB125">
        <f t="shared" si="15"/>
        <v>150.04000000000002</v>
      </c>
      <c r="AC125">
        <f>Table2[[#This Row],[Price]]*Table2[[#This Row],[Quantity]]*Table2[[#This Row],[COUPON %]]/100</f>
        <v>27.26</v>
      </c>
      <c r="AD125">
        <f t="shared" si="16"/>
        <v>109.04000000000002</v>
      </c>
      <c r="AE125" s="1">
        <f t="shared" si="17"/>
        <v>136.30000000000001</v>
      </c>
    </row>
    <row r="126" spans="1:31" x14ac:dyDescent="0.25">
      <c r="A126" t="s">
        <v>1238</v>
      </c>
      <c r="B126" t="str">
        <f t="shared" si="9"/>
        <v xml:space="preserve">John Ramirez </v>
      </c>
      <c r="C126" t="s">
        <v>1163</v>
      </c>
      <c r="D126" t="s">
        <v>1237</v>
      </c>
      <c r="E126">
        <v>28</v>
      </c>
      <c r="F126" t="str">
        <f t="shared" si="10"/>
        <v>26-35</v>
      </c>
      <c r="G126" t="s">
        <v>8</v>
      </c>
      <c r="H126" t="s">
        <v>59</v>
      </c>
      <c r="I126" t="s">
        <v>1236</v>
      </c>
      <c r="J126" t="str">
        <f t="shared" si="11"/>
        <v>outlook.com</v>
      </c>
      <c r="K126" t="s">
        <v>1235</v>
      </c>
      <c r="L126" t="s">
        <v>1649</v>
      </c>
      <c r="M126" s="2">
        <v>45213</v>
      </c>
      <c r="N126" t="s">
        <v>1648</v>
      </c>
      <c r="O126" t="s">
        <v>13</v>
      </c>
      <c r="P126">
        <v>424.82</v>
      </c>
      <c r="Q126">
        <v>3</v>
      </c>
      <c r="R126" t="s">
        <v>34</v>
      </c>
      <c r="S126" s="5">
        <v>8</v>
      </c>
      <c r="T126" s="3">
        <v>2</v>
      </c>
      <c r="U126" s="4" t="str">
        <f t="shared" si="12"/>
        <v>On_time</v>
      </c>
      <c r="V126">
        <v>67</v>
      </c>
      <c r="W126" s="3">
        <f t="shared" si="13"/>
        <v>2</v>
      </c>
      <c r="X126" s="2">
        <v>45215</v>
      </c>
      <c r="Y126" s="1">
        <f>YEAR(Table2[[#This Row],[Delivery_Date]])</f>
        <v>2023</v>
      </c>
      <c r="Z126" s="2" t="str">
        <f t="shared" si="14"/>
        <v>Oct</v>
      </c>
      <c r="AA126" t="s">
        <v>1647</v>
      </c>
      <c r="AB126">
        <f t="shared" si="15"/>
        <v>1239.5032000000001</v>
      </c>
      <c r="AC126">
        <f>Table2[[#This Row],[Price]]*Table2[[#This Row],[Quantity]]*Table2[[#This Row],[COUPON %]]/100</f>
        <v>101.9568</v>
      </c>
      <c r="AD126">
        <f t="shared" si="16"/>
        <v>1172.5032000000001</v>
      </c>
      <c r="AE126" s="1">
        <f t="shared" si="17"/>
        <v>1274.46</v>
      </c>
    </row>
    <row r="127" spans="1:31" x14ac:dyDescent="0.25">
      <c r="A127" t="s">
        <v>156</v>
      </c>
      <c r="B127" t="str">
        <f t="shared" si="9"/>
        <v xml:space="preserve">Traci Jones </v>
      </c>
      <c r="C127" t="s">
        <v>155</v>
      </c>
      <c r="D127" t="s">
        <v>154</v>
      </c>
      <c r="E127">
        <v>34</v>
      </c>
      <c r="F127" t="str">
        <f t="shared" si="10"/>
        <v>26-35</v>
      </c>
      <c r="G127" t="s">
        <v>108</v>
      </c>
      <c r="H127" t="s">
        <v>118</v>
      </c>
      <c r="I127" t="s">
        <v>153</v>
      </c>
      <c r="J127" t="str">
        <f t="shared" si="11"/>
        <v>yahoo.com</v>
      </c>
      <c r="K127" t="s">
        <v>152</v>
      </c>
      <c r="L127" t="s">
        <v>1646</v>
      </c>
      <c r="M127" s="2">
        <v>45667</v>
      </c>
      <c r="N127" t="s">
        <v>1645</v>
      </c>
      <c r="O127" t="s">
        <v>519</v>
      </c>
      <c r="P127">
        <v>136.30000000000001</v>
      </c>
      <c r="Q127">
        <v>2</v>
      </c>
      <c r="R127" t="s">
        <v>166</v>
      </c>
      <c r="S127" s="5">
        <v>10</v>
      </c>
      <c r="T127" s="3">
        <v>3</v>
      </c>
      <c r="U127" s="4" t="str">
        <f t="shared" si="12"/>
        <v>Late_Delivery</v>
      </c>
      <c r="V127">
        <v>68</v>
      </c>
      <c r="W127" s="3">
        <f t="shared" si="13"/>
        <v>7</v>
      </c>
      <c r="X127" s="2">
        <v>45674</v>
      </c>
      <c r="Y127" s="1">
        <f>YEAR(Table2[[#This Row],[Delivery_Date]])</f>
        <v>2025</v>
      </c>
      <c r="Z127" s="2" t="str">
        <f t="shared" si="14"/>
        <v>Jan</v>
      </c>
      <c r="AA127" t="s">
        <v>1644</v>
      </c>
      <c r="AB127">
        <f t="shared" si="15"/>
        <v>313.34000000000003</v>
      </c>
      <c r="AC127">
        <f>Table2[[#This Row],[Price]]*Table2[[#This Row],[Quantity]]*Table2[[#This Row],[COUPON %]]/100</f>
        <v>27.26</v>
      </c>
      <c r="AD127">
        <f t="shared" si="16"/>
        <v>245.34000000000003</v>
      </c>
      <c r="AE127" s="1">
        <f t="shared" si="17"/>
        <v>272.60000000000002</v>
      </c>
    </row>
    <row r="128" spans="1:31" x14ac:dyDescent="0.25">
      <c r="A128" t="s">
        <v>1129</v>
      </c>
      <c r="B128" t="str">
        <f t="shared" si="9"/>
        <v xml:space="preserve">Amy Reid </v>
      </c>
      <c r="C128" t="s">
        <v>270</v>
      </c>
      <c r="D128" t="s">
        <v>1128</v>
      </c>
      <c r="E128">
        <v>44</v>
      </c>
      <c r="F128" t="str">
        <f t="shared" si="10"/>
        <v>36-45</v>
      </c>
      <c r="G128" t="s">
        <v>29</v>
      </c>
      <c r="H128" t="s">
        <v>118</v>
      </c>
      <c r="I128" t="s">
        <v>1127</v>
      </c>
      <c r="J128" t="str">
        <f t="shared" si="11"/>
        <v>rediffmail.com</v>
      </c>
      <c r="K128" t="s">
        <v>1126</v>
      </c>
      <c r="L128" t="s">
        <v>1643</v>
      </c>
      <c r="M128" s="2">
        <v>45636</v>
      </c>
      <c r="N128" t="s">
        <v>1642</v>
      </c>
      <c r="O128" t="s">
        <v>303</v>
      </c>
      <c r="P128">
        <v>431.44</v>
      </c>
      <c r="Q128">
        <v>4</v>
      </c>
      <c r="R128" t="s">
        <v>93</v>
      </c>
      <c r="S128" s="5">
        <v>15</v>
      </c>
      <c r="T128" s="3">
        <v>2</v>
      </c>
      <c r="U128" s="4" t="str">
        <f t="shared" si="12"/>
        <v>Before_time</v>
      </c>
      <c r="V128">
        <v>66</v>
      </c>
      <c r="W128" s="3">
        <f t="shared" si="13"/>
        <v>1</v>
      </c>
      <c r="X128" s="2">
        <v>45637</v>
      </c>
      <c r="Y128" s="1">
        <f>YEAR(Table2[[#This Row],[Delivery_Date]])</f>
        <v>2024</v>
      </c>
      <c r="Z128" s="2" t="str">
        <f t="shared" si="14"/>
        <v>Dec</v>
      </c>
      <c r="AA128" t="s">
        <v>1641</v>
      </c>
      <c r="AB128">
        <f t="shared" si="15"/>
        <v>1532.896</v>
      </c>
      <c r="AC128">
        <f>Table2[[#This Row],[Price]]*Table2[[#This Row],[Quantity]]*Table2[[#This Row],[COUPON %]]/100</f>
        <v>258.86400000000003</v>
      </c>
      <c r="AD128">
        <f t="shared" si="16"/>
        <v>1466.896</v>
      </c>
      <c r="AE128" s="1">
        <f t="shared" si="17"/>
        <v>1725.76</v>
      </c>
    </row>
    <row r="129" spans="1:31" x14ac:dyDescent="0.25">
      <c r="A129" t="s">
        <v>101</v>
      </c>
      <c r="B129" t="str">
        <f t="shared" si="9"/>
        <v xml:space="preserve">Gregory Lee </v>
      </c>
      <c r="C129" t="s">
        <v>100</v>
      </c>
      <c r="D129" t="s">
        <v>99</v>
      </c>
      <c r="E129">
        <v>26</v>
      </c>
      <c r="F129" t="str">
        <f t="shared" si="10"/>
        <v>26-35</v>
      </c>
      <c r="G129" t="s">
        <v>8</v>
      </c>
      <c r="H129" t="s">
        <v>28</v>
      </c>
      <c r="I129" t="s">
        <v>98</v>
      </c>
      <c r="J129" t="str">
        <f t="shared" si="11"/>
        <v>rediffmail.com</v>
      </c>
      <c r="K129" t="s">
        <v>97</v>
      </c>
      <c r="L129" t="s">
        <v>1640</v>
      </c>
      <c r="M129" s="2">
        <v>45450</v>
      </c>
      <c r="N129" t="s">
        <v>1639</v>
      </c>
      <c r="O129" t="s">
        <v>224</v>
      </c>
      <c r="P129">
        <v>132.97</v>
      </c>
      <c r="Q129">
        <v>5</v>
      </c>
      <c r="R129" t="s">
        <v>64</v>
      </c>
      <c r="S129" s="5">
        <v>20</v>
      </c>
      <c r="T129" s="3">
        <v>3</v>
      </c>
      <c r="U129" s="4" t="str">
        <f t="shared" si="12"/>
        <v>Before_time</v>
      </c>
      <c r="V129">
        <v>45</v>
      </c>
      <c r="W129" s="3">
        <f t="shared" si="13"/>
        <v>2</v>
      </c>
      <c r="X129" s="2">
        <v>45452</v>
      </c>
      <c r="Y129" s="1">
        <f>YEAR(Table2[[#This Row],[Delivery_Date]])</f>
        <v>2024</v>
      </c>
      <c r="Z129" s="2" t="str">
        <f t="shared" si="14"/>
        <v>Jun</v>
      </c>
      <c r="AA129" t="s">
        <v>1638</v>
      </c>
      <c r="AB129">
        <f t="shared" si="15"/>
        <v>576.88</v>
      </c>
      <c r="AC129">
        <f>Table2[[#This Row],[Price]]*Table2[[#This Row],[Quantity]]*Table2[[#This Row],[COUPON %]]/100</f>
        <v>132.97</v>
      </c>
      <c r="AD129">
        <f t="shared" si="16"/>
        <v>531.88</v>
      </c>
      <c r="AE129" s="1">
        <f t="shared" si="17"/>
        <v>664.85</v>
      </c>
    </row>
    <row r="130" spans="1:31" x14ac:dyDescent="0.25">
      <c r="A130" t="s">
        <v>1368</v>
      </c>
      <c r="B130" t="str">
        <f t="shared" ref="B130:B193" si="18">CONCATENATE(C130," ", D130," ")</f>
        <v xml:space="preserve">Jason Nguyen </v>
      </c>
      <c r="C130" t="s">
        <v>629</v>
      </c>
      <c r="D130" t="s">
        <v>1367</v>
      </c>
      <c r="E130">
        <v>51</v>
      </c>
      <c r="F130" t="str">
        <f t="shared" ref="F130:F193" si="19">IF(E130&lt;=25,"0-25",IF(E130&lt;=35,"26-35",IF(E130&lt;=45,"36-45","&gt;45")))</f>
        <v>&gt;45</v>
      </c>
      <c r="G130" t="s">
        <v>8</v>
      </c>
      <c r="H130" t="s">
        <v>59</v>
      </c>
      <c r="I130" t="s">
        <v>1366</v>
      </c>
      <c r="J130" t="str">
        <f t="shared" ref="J130:J193" si="20">MID(I130,FIND("@",I130)+1,100)</f>
        <v>yahoo.com</v>
      </c>
      <c r="K130" t="s">
        <v>1365</v>
      </c>
      <c r="L130" t="s">
        <v>1637</v>
      </c>
      <c r="M130" s="2">
        <v>45598</v>
      </c>
      <c r="N130" t="s">
        <v>1372</v>
      </c>
      <c r="O130" t="s">
        <v>23</v>
      </c>
      <c r="P130">
        <v>272.51</v>
      </c>
      <c r="Q130">
        <v>4</v>
      </c>
      <c r="R130" t="s">
        <v>1</v>
      </c>
      <c r="S130" s="5">
        <v>0</v>
      </c>
      <c r="T130" s="3">
        <v>2</v>
      </c>
      <c r="U130" s="4" t="str">
        <f t="shared" ref="U130:U193" si="21">IF(W130&lt;T130,"Before_time",IF(W130&gt;T130,"Late_Delivery","On_time"))</f>
        <v>Before_time</v>
      </c>
      <c r="V130">
        <v>42</v>
      </c>
      <c r="W130" s="3">
        <f t="shared" ref="W130:W193" si="22">DATEDIF(M130,X130,"D")</f>
        <v>1</v>
      </c>
      <c r="X130" s="2">
        <v>45599</v>
      </c>
      <c r="Y130" s="1">
        <f>YEAR(Table2[[#This Row],[Delivery_Date]])</f>
        <v>2024</v>
      </c>
      <c r="Z130" s="2" t="str">
        <f t="shared" ref="Z130:Z193" si="23">TEXT(X130,"mmm")</f>
        <v>Nov</v>
      </c>
      <c r="AA130" t="s">
        <v>1636</v>
      </c>
      <c r="AB130">
        <f t="shared" ref="AB130:AB193" si="24">AD130+V130</f>
        <v>1132.04</v>
      </c>
      <c r="AC130">
        <f>Table2[[#This Row],[Price]]*Table2[[#This Row],[Quantity]]*Table2[[#This Row],[COUPON %]]/100</f>
        <v>0</v>
      </c>
      <c r="AD130">
        <f t="shared" ref="AD130:AD193" si="25">P130*Q130*(1-S130/100)</f>
        <v>1090.04</v>
      </c>
      <c r="AE130" s="1">
        <f t="shared" ref="AE130:AE193" si="26">P130*Q130</f>
        <v>1090.04</v>
      </c>
    </row>
    <row r="131" spans="1:31" x14ac:dyDescent="0.25">
      <c r="A131" t="s">
        <v>371</v>
      </c>
      <c r="B131" t="str">
        <f t="shared" si="18"/>
        <v xml:space="preserve">Anthony Thomas </v>
      </c>
      <c r="C131" t="s">
        <v>370</v>
      </c>
      <c r="D131" t="s">
        <v>369</v>
      </c>
      <c r="E131">
        <v>53</v>
      </c>
      <c r="F131" t="str">
        <f t="shared" si="19"/>
        <v>&gt;45</v>
      </c>
      <c r="G131" t="s">
        <v>29</v>
      </c>
      <c r="H131" t="s">
        <v>7</v>
      </c>
      <c r="I131" t="s">
        <v>368</v>
      </c>
      <c r="J131" t="str">
        <f t="shared" si="20"/>
        <v>rediffmail.com</v>
      </c>
      <c r="K131" t="s">
        <v>367</v>
      </c>
      <c r="L131" t="s">
        <v>1635</v>
      </c>
      <c r="M131" s="2">
        <v>45589</v>
      </c>
      <c r="N131" t="s">
        <v>1634</v>
      </c>
      <c r="O131" t="s">
        <v>569</v>
      </c>
      <c r="P131">
        <v>202.54</v>
      </c>
      <c r="Q131">
        <v>2</v>
      </c>
      <c r="R131" t="s">
        <v>64</v>
      </c>
      <c r="S131" s="5">
        <v>20</v>
      </c>
      <c r="T131" s="3">
        <v>6</v>
      </c>
      <c r="U131" s="4" t="str">
        <f t="shared" si="21"/>
        <v>Before_time</v>
      </c>
      <c r="V131">
        <v>70</v>
      </c>
      <c r="W131" s="3">
        <f t="shared" si="22"/>
        <v>5</v>
      </c>
      <c r="X131" s="2">
        <v>45594</v>
      </c>
      <c r="Y131" s="1">
        <f>YEAR(Table2[[#This Row],[Delivery_Date]])</f>
        <v>2024</v>
      </c>
      <c r="Z131" s="2" t="str">
        <f t="shared" si="23"/>
        <v>Oct</v>
      </c>
      <c r="AA131" t="s">
        <v>1633</v>
      </c>
      <c r="AB131">
        <f t="shared" si="24"/>
        <v>394.06400000000002</v>
      </c>
      <c r="AC131">
        <f>Table2[[#This Row],[Price]]*Table2[[#This Row],[Quantity]]*Table2[[#This Row],[COUPON %]]/100</f>
        <v>81.015999999999991</v>
      </c>
      <c r="AD131">
        <f t="shared" si="25"/>
        <v>324.06400000000002</v>
      </c>
      <c r="AE131" s="1">
        <f t="shared" si="26"/>
        <v>405.08</v>
      </c>
    </row>
    <row r="132" spans="1:31" x14ac:dyDescent="0.25">
      <c r="A132" t="s">
        <v>1632</v>
      </c>
      <c r="B132" t="str">
        <f t="shared" si="18"/>
        <v xml:space="preserve">Marcus Valenzuela </v>
      </c>
      <c r="C132" t="s">
        <v>853</v>
      </c>
      <c r="D132" t="s">
        <v>1631</v>
      </c>
      <c r="E132">
        <v>39</v>
      </c>
      <c r="F132" t="str">
        <f t="shared" si="19"/>
        <v>36-45</v>
      </c>
      <c r="G132" t="s">
        <v>108</v>
      </c>
      <c r="H132" t="s">
        <v>107</v>
      </c>
      <c r="I132" t="s">
        <v>1630</v>
      </c>
      <c r="J132" t="str">
        <f t="shared" si="20"/>
        <v>yahoo.com</v>
      </c>
      <c r="K132" t="s">
        <v>1629</v>
      </c>
      <c r="L132" t="s">
        <v>1628</v>
      </c>
      <c r="M132" s="2">
        <v>45689</v>
      </c>
      <c r="N132" t="s">
        <v>1627</v>
      </c>
      <c r="O132" t="s">
        <v>519</v>
      </c>
      <c r="P132">
        <v>136.30000000000001</v>
      </c>
      <c r="Q132">
        <v>2</v>
      </c>
      <c r="R132" t="s">
        <v>166</v>
      </c>
      <c r="S132" s="5">
        <v>10</v>
      </c>
      <c r="T132" s="3">
        <v>2</v>
      </c>
      <c r="U132" s="4" t="str">
        <f t="shared" si="21"/>
        <v>Late_Delivery</v>
      </c>
      <c r="V132">
        <v>51</v>
      </c>
      <c r="W132" s="3">
        <f t="shared" si="22"/>
        <v>5</v>
      </c>
      <c r="X132" s="2">
        <v>45694</v>
      </c>
      <c r="Y132" s="1">
        <f>YEAR(Table2[[#This Row],[Delivery_Date]])</f>
        <v>2025</v>
      </c>
      <c r="Z132" s="2" t="str">
        <f t="shared" si="23"/>
        <v>Feb</v>
      </c>
      <c r="AA132" t="s">
        <v>1626</v>
      </c>
      <c r="AB132">
        <f t="shared" si="24"/>
        <v>296.34000000000003</v>
      </c>
      <c r="AC132">
        <f>Table2[[#This Row],[Price]]*Table2[[#This Row],[Quantity]]*Table2[[#This Row],[COUPON %]]/100</f>
        <v>27.26</v>
      </c>
      <c r="AD132">
        <f t="shared" si="25"/>
        <v>245.34000000000003</v>
      </c>
      <c r="AE132" s="1">
        <f t="shared" si="26"/>
        <v>272.60000000000002</v>
      </c>
    </row>
    <row r="133" spans="1:31" x14ac:dyDescent="0.25">
      <c r="A133" t="s">
        <v>1164</v>
      </c>
      <c r="B133" t="str">
        <f t="shared" si="18"/>
        <v xml:space="preserve">John Herrera </v>
      </c>
      <c r="C133" t="s">
        <v>1163</v>
      </c>
      <c r="D133" t="s">
        <v>1162</v>
      </c>
      <c r="E133">
        <v>64</v>
      </c>
      <c r="F133" t="str">
        <f t="shared" si="19"/>
        <v>&gt;45</v>
      </c>
      <c r="G133" t="s">
        <v>29</v>
      </c>
      <c r="H133" t="s">
        <v>7</v>
      </c>
      <c r="I133" t="s">
        <v>1161</v>
      </c>
      <c r="J133" t="str">
        <f t="shared" si="20"/>
        <v>outlook.com</v>
      </c>
      <c r="K133" t="s">
        <v>1160</v>
      </c>
      <c r="L133" t="s">
        <v>1625</v>
      </c>
      <c r="M133" s="2">
        <v>45094</v>
      </c>
      <c r="N133" t="s">
        <v>1624</v>
      </c>
      <c r="O133" t="s">
        <v>273</v>
      </c>
      <c r="P133">
        <v>403.03</v>
      </c>
      <c r="Q133">
        <v>5</v>
      </c>
      <c r="R133" t="s">
        <v>1</v>
      </c>
      <c r="S133" s="5">
        <v>0</v>
      </c>
      <c r="T133" s="3">
        <v>7</v>
      </c>
      <c r="U133" s="4" t="str">
        <f t="shared" si="21"/>
        <v>Before_time</v>
      </c>
      <c r="V133">
        <v>52</v>
      </c>
      <c r="W133" s="3">
        <f t="shared" si="22"/>
        <v>3</v>
      </c>
      <c r="X133" s="2">
        <v>45097</v>
      </c>
      <c r="Y133" s="1">
        <f>YEAR(Table2[[#This Row],[Delivery_Date]])</f>
        <v>2023</v>
      </c>
      <c r="Z133" s="2" t="str">
        <f t="shared" si="23"/>
        <v>Jun</v>
      </c>
      <c r="AA133" t="s">
        <v>1623</v>
      </c>
      <c r="AB133">
        <f t="shared" si="24"/>
        <v>2067.1499999999996</v>
      </c>
      <c r="AC133">
        <f>Table2[[#This Row],[Price]]*Table2[[#This Row],[Quantity]]*Table2[[#This Row],[COUPON %]]/100</f>
        <v>0</v>
      </c>
      <c r="AD133">
        <f t="shared" si="25"/>
        <v>2015.1499999999999</v>
      </c>
      <c r="AE133" s="1">
        <f t="shared" si="26"/>
        <v>2015.1499999999999</v>
      </c>
    </row>
    <row r="134" spans="1:31" x14ac:dyDescent="0.25">
      <c r="A134" t="s">
        <v>444</v>
      </c>
      <c r="B134" t="str">
        <f t="shared" si="18"/>
        <v xml:space="preserve">Donna Oneill </v>
      </c>
      <c r="C134" t="s">
        <v>443</v>
      </c>
      <c r="D134" t="s">
        <v>442</v>
      </c>
      <c r="E134">
        <v>70</v>
      </c>
      <c r="F134" t="str">
        <f t="shared" si="19"/>
        <v>&gt;45</v>
      </c>
      <c r="G134" t="s">
        <v>108</v>
      </c>
      <c r="H134" t="s">
        <v>79</v>
      </c>
      <c r="I134" t="s">
        <v>441</v>
      </c>
      <c r="J134" t="str">
        <f t="shared" si="20"/>
        <v>yahoo.com</v>
      </c>
      <c r="K134" t="s">
        <v>440</v>
      </c>
      <c r="L134" t="s">
        <v>1622</v>
      </c>
      <c r="M134" s="2">
        <v>45281</v>
      </c>
      <c r="N134" t="s">
        <v>1621</v>
      </c>
      <c r="O134" t="s">
        <v>273</v>
      </c>
      <c r="P134">
        <v>403.03</v>
      </c>
      <c r="Q134">
        <v>4</v>
      </c>
      <c r="R134" t="s">
        <v>166</v>
      </c>
      <c r="S134" s="5">
        <v>10</v>
      </c>
      <c r="T134" s="3">
        <v>6</v>
      </c>
      <c r="U134" s="4" t="str">
        <f t="shared" si="21"/>
        <v>Before_time</v>
      </c>
      <c r="V134">
        <v>47</v>
      </c>
      <c r="W134" s="3">
        <f t="shared" si="22"/>
        <v>2</v>
      </c>
      <c r="X134" s="2">
        <v>45283</v>
      </c>
      <c r="Y134" s="1">
        <f>YEAR(Table2[[#This Row],[Delivery_Date]])</f>
        <v>2023</v>
      </c>
      <c r="Z134" s="2" t="str">
        <f t="shared" si="23"/>
        <v>Dec</v>
      </c>
      <c r="AA134" t="s">
        <v>1620</v>
      </c>
      <c r="AB134">
        <f t="shared" si="24"/>
        <v>1497.9079999999999</v>
      </c>
      <c r="AC134">
        <f>Table2[[#This Row],[Price]]*Table2[[#This Row],[Quantity]]*Table2[[#This Row],[COUPON %]]/100</f>
        <v>161.21199999999999</v>
      </c>
      <c r="AD134">
        <f t="shared" si="25"/>
        <v>1450.9079999999999</v>
      </c>
      <c r="AE134" s="1">
        <f t="shared" si="26"/>
        <v>1612.12</v>
      </c>
    </row>
    <row r="135" spans="1:31" x14ac:dyDescent="0.25">
      <c r="A135" t="s">
        <v>319</v>
      </c>
      <c r="B135" t="str">
        <f t="shared" si="18"/>
        <v xml:space="preserve">Edward Black </v>
      </c>
      <c r="C135" t="s">
        <v>318</v>
      </c>
      <c r="D135" t="s">
        <v>317</v>
      </c>
      <c r="E135">
        <v>42</v>
      </c>
      <c r="F135" t="str">
        <f t="shared" si="19"/>
        <v>36-45</v>
      </c>
      <c r="G135" t="s">
        <v>108</v>
      </c>
      <c r="H135" t="s">
        <v>28</v>
      </c>
      <c r="I135" t="s">
        <v>316</v>
      </c>
      <c r="J135" t="str">
        <f t="shared" si="20"/>
        <v>gmail.com</v>
      </c>
      <c r="K135" t="s">
        <v>315</v>
      </c>
      <c r="L135" t="s">
        <v>1619</v>
      </c>
      <c r="M135" s="2">
        <v>44979</v>
      </c>
      <c r="N135" t="s">
        <v>1618</v>
      </c>
      <c r="O135" t="s">
        <v>644</v>
      </c>
      <c r="P135">
        <v>190.1</v>
      </c>
      <c r="Q135">
        <v>5</v>
      </c>
      <c r="R135" t="s">
        <v>64</v>
      </c>
      <c r="S135" s="5">
        <v>20</v>
      </c>
      <c r="T135" s="3">
        <v>4</v>
      </c>
      <c r="U135" s="4" t="str">
        <f t="shared" si="21"/>
        <v>Late_Delivery</v>
      </c>
      <c r="V135">
        <v>37</v>
      </c>
      <c r="W135" s="3">
        <f t="shared" si="22"/>
        <v>5</v>
      </c>
      <c r="X135" s="2">
        <v>44984</v>
      </c>
      <c r="Y135" s="1">
        <f>YEAR(Table2[[#This Row],[Delivery_Date]])</f>
        <v>2023</v>
      </c>
      <c r="Z135" s="2" t="str">
        <f t="shared" si="23"/>
        <v>Feb</v>
      </c>
      <c r="AA135" t="s">
        <v>1617</v>
      </c>
      <c r="AB135">
        <f t="shared" si="24"/>
        <v>797.40000000000009</v>
      </c>
      <c r="AC135">
        <f>Table2[[#This Row],[Price]]*Table2[[#This Row],[Quantity]]*Table2[[#This Row],[COUPON %]]/100</f>
        <v>190.1</v>
      </c>
      <c r="AD135">
        <f t="shared" si="25"/>
        <v>760.40000000000009</v>
      </c>
      <c r="AE135" s="1">
        <f t="shared" si="26"/>
        <v>950.5</v>
      </c>
    </row>
    <row r="136" spans="1:31" x14ac:dyDescent="0.25">
      <c r="A136" t="s">
        <v>908</v>
      </c>
      <c r="B136" t="str">
        <f t="shared" si="18"/>
        <v xml:space="preserve">James Brown </v>
      </c>
      <c r="C136" t="s">
        <v>907</v>
      </c>
      <c r="D136" t="s">
        <v>906</v>
      </c>
      <c r="E136">
        <v>60</v>
      </c>
      <c r="F136" t="str">
        <f t="shared" si="19"/>
        <v>&gt;45</v>
      </c>
      <c r="G136" t="s">
        <v>108</v>
      </c>
      <c r="H136" t="s">
        <v>59</v>
      </c>
      <c r="I136" t="s">
        <v>905</v>
      </c>
      <c r="J136" t="str">
        <f t="shared" si="20"/>
        <v>yahoo.com</v>
      </c>
      <c r="K136" t="s">
        <v>904</v>
      </c>
      <c r="L136" t="s">
        <v>1616</v>
      </c>
      <c r="M136" s="2">
        <v>45663</v>
      </c>
      <c r="N136" t="s">
        <v>1615</v>
      </c>
      <c r="O136" t="s">
        <v>519</v>
      </c>
      <c r="P136">
        <v>136.30000000000001</v>
      </c>
      <c r="Q136">
        <v>4</v>
      </c>
      <c r="R136" t="s">
        <v>1</v>
      </c>
      <c r="S136" s="5">
        <v>0</v>
      </c>
      <c r="T136" s="3">
        <v>5</v>
      </c>
      <c r="U136" s="4" t="str">
        <f t="shared" si="21"/>
        <v>On_time</v>
      </c>
      <c r="V136">
        <v>61</v>
      </c>
      <c r="W136" s="3">
        <f t="shared" si="22"/>
        <v>5</v>
      </c>
      <c r="X136" s="2">
        <v>45668</v>
      </c>
      <c r="Y136" s="1">
        <f>YEAR(Table2[[#This Row],[Delivery_Date]])</f>
        <v>2025</v>
      </c>
      <c r="Z136" s="2" t="str">
        <f t="shared" si="23"/>
        <v>Jan</v>
      </c>
      <c r="AA136" t="s">
        <v>1614</v>
      </c>
      <c r="AB136">
        <f t="shared" si="24"/>
        <v>606.20000000000005</v>
      </c>
      <c r="AC136">
        <f>Table2[[#This Row],[Price]]*Table2[[#This Row],[Quantity]]*Table2[[#This Row],[COUPON %]]/100</f>
        <v>0</v>
      </c>
      <c r="AD136">
        <f t="shared" si="25"/>
        <v>545.20000000000005</v>
      </c>
      <c r="AE136" s="1">
        <f t="shared" si="26"/>
        <v>545.20000000000005</v>
      </c>
    </row>
    <row r="137" spans="1:31" x14ac:dyDescent="0.25">
      <c r="A137" t="s">
        <v>916</v>
      </c>
      <c r="B137" t="str">
        <f t="shared" si="18"/>
        <v xml:space="preserve">Leslie Montgomery </v>
      </c>
      <c r="C137" t="s">
        <v>915</v>
      </c>
      <c r="D137" t="s">
        <v>914</v>
      </c>
      <c r="E137">
        <v>26</v>
      </c>
      <c r="F137" t="str">
        <f t="shared" si="19"/>
        <v>26-35</v>
      </c>
      <c r="G137" t="s">
        <v>29</v>
      </c>
      <c r="H137" t="s">
        <v>40</v>
      </c>
      <c r="I137" t="s">
        <v>913</v>
      </c>
      <c r="J137" t="str">
        <f t="shared" si="20"/>
        <v>gmail.com</v>
      </c>
      <c r="K137" t="s">
        <v>912</v>
      </c>
      <c r="L137" t="s">
        <v>1613</v>
      </c>
      <c r="M137" s="2">
        <v>45226</v>
      </c>
      <c r="N137" t="s">
        <v>1612</v>
      </c>
      <c r="O137" t="s">
        <v>299</v>
      </c>
      <c r="P137">
        <v>235.63</v>
      </c>
      <c r="Q137">
        <v>1</v>
      </c>
      <c r="R137" t="s">
        <v>64</v>
      </c>
      <c r="S137" s="5">
        <v>20</v>
      </c>
      <c r="T137" s="3">
        <v>2</v>
      </c>
      <c r="U137" s="4" t="str">
        <f t="shared" si="21"/>
        <v>Late_Delivery</v>
      </c>
      <c r="V137">
        <v>66</v>
      </c>
      <c r="W137" s="3">
        <f t="shared" si="22"/>
        <v>7</v>
      </c>
      <c r="X137" s="2">
        <v>45233</v>
      </c>
      <c r="Y137" s="1">
        <f>YEAR(Table2[[#This Row],[Delivery_Date]])</f>
        <v>2023</v>
      </c>
      <c r="Z137" s="2" t="str">
        <f t="shared" si="23"/>
        <v>Nov</v>
      </c>
      <c r="AA137" t="s">
        <v>1611</v>
      </c>
      <c r="AB137">
        <f t="shared" si="24"/>
        <v>254.50400000000002</v>
      </c>
      <c r="AC137">
        <f>Table2[[#This Row],[Price]]*Table2[[#This Row],[Quantity]]*Table2[[#This Row],[COUPON %]]/100</f>
        <v>47.126000000000005</v>
      </c>
      <c r="AD137">
        <f t="shared" si="25"/>
        <v>188.50400000000002</v>
      </c>
      <c r="AE137" s="1">
        <f t="shared" si="26"/>
        <v>235.63</v>
      </c>
    </row>
    <row r="138" spans="1:31" x14ac:dyDescent="0.25">
      <c r="A138" t="s">
        <v>827</v>
      </c>
      <c r="B138" t="str">
        <f t="shared" si="18"/>
        <v xml:space="preserve">Susan Thompson </v>
      </c>
      <c r="C138" t="s">
        <v>826</v>
      </c>
      <c r="D138" t="s">
        <v>119</v>
      </c>
      <c r="E138">
        <v>37</v>
      </c>
      <c r="F138" t="str">
        <f t="shared" si="19"/>
        <v>36-45</v>
      </c>
      <c r="G138" t="s">
        <v>8</v>
      </c>
      <c r="H138" t="s">
        <v>18</v>
      </c>
      <c r="I138" t="s">
        <v>825</v>
      </c>
      <c r="J138" t="str">
        <f t="shared" si="20"/>
        <v>outlook.com</v>
      </c>
      <c r="K138" t="s">
        <v>824</v>
      </c>
      <c r="L138" t="s">
        <v>1610</v>
      </c>
      <c r="M138" s="2">
        <v>45249</v>
      </c>
      <c r="N138" t="s">
        <v>1609</v>
      </c>
      <c r="O138" t="s">
        <v>45</v>
      </c>
      <c r="P138">
        <v>433.62</v>
      </c>
      <c r="Q138">
        <v>4</v>
      </c>
      <c r="R138" t="s">
        <v>64</v>
      </c>
      <c r="S138" s="5">
        <v>20</v>
      </c>
      <c r="T138" s="3">
        <v>3</v>
      </c>
      <c r="U138" s="4" t="str">
        <f t="shared" si="21"/>
        <v>On_time</v>
      </c>
      <c r="V138">
        <v>36</v>
      </c>
      <c r="W138" s="3">
        <f t="shared" si="22"/>
        <v>3</v>
      </c>
      <c r="X138" s="2">
        <v>45252</v>
      </c>
      <c r="Y138" s="1">
        <f>YEAR(Table2[[#This Row],[Delivery_Date]])</f>
        <v>2023</v>
      </c>
      <c r="Z138" s="2" t="str">
        <f t="shared" si="23"/>
        <v>Nov</v>
      </c>
      <c r="AA138" t="s">
        <v>1608</v>
      </c>
      <c r="AB138">
        <f t="shared" si="24"/>
        <v>1423.5840000000001</v>
      </c>
      <c r="AC138">
        <f>Table2[[#This Row],[Price]]*Table2[[#This Row],[Quantity]]*Table2[[#This Row],[COUPON %]]/100</f>
        <v>346.89599999999996</v>
      </c>
      <c r="AD138">
        <f t="shared" si="25"/>
        <v>1387.5840000000001</v>
      </c>
      <c r="AE138" s="1">
        <f t="shared" si="26"/>
        <v>1734.48</v>
      </c>
    </row>
    <row r="139" spans="1:31" x14ac:dyDescent="0.25">
      <c r="A139" t="s">
        <v>492</v>
      </c>
      <c r="B139" t="str">
        <f t="shared" si="18"/>
        <v xml:space="preserve">Barbara Fuller </v>
      </c>
      <c r="C139" t="s">
        <v>491</v>
      </c>
      <c r="D139" t="s">
        <v>490</v>
      </c>
      <c r="E139">
        <v>43</v>
      </c>
      <c r="F139" t="str">
        <f t="shared" si="19"/>
        <v>36-45</v>
      </c>
      <c r="G139" t="s">
        <v>8</v>
      </c>
      <c r="H139" t="s">
        <v>40</v>
      </c>
      <c r="I139" t="s">
        <v>489</v>
      </c>
      <c r="J139" t="str">
        <f t="shared" si="20"/>
        <v>rediffmail.com</v>
      </c>
      <c r="K139" t="s">
        <v>488</v>
      </c>
      <c r="L139" t="s">
        <v>1607</v>
      </c>
      <c r="M139" s="2">
        <v>45331</v>
      </c>
      <c r="N139" t="s">
        <v>1606</v>
      </c>
      <c r="O139" t="s">
        <v>347</v>
      </c>
      <c r="P139">
        <v>157.63999999999999</v>
      </c>
      <c r="Q139">
        <v>5</v>
      </c>
      <c r="R139" t="s">
        <v>1</v>
      </c>
      <c r="S139" s="5">
        <v>0</v>
      </c>
      <c r="T139" s="3">
        <v>7</v>
      </c>
      <c r="U139" s="4" t="str">
        <f t="shared" si="21"/>
        <v>Before_time</v>
      </c>
      <c r="V139">
        <v>36</v>
      </c>
      <c r="W139" s="3">
        <f t="shared" si="22"/>
        <v>1</v>
      </c>
      <c r="X139" s="2">
        <v>45332</v>
      </c>
      <c r="Y139" s="1">
        <f>YEAR(Table2[[#This Row],[Delivery_Date]])</f>
        <v>2024</v>
      </c>
      <c r="Z139" s="2" t="str">
        <f t="shared" si="23"/>
        <v>Feb</v>
      </c>
      <c r="AA139" t="s">
        <v>1605</v>
      </c>
      <c r="AB139">
        <f t="shared" si="24"/>
        <v>824.19999999999993</v>
      </c>
      <c r="AC139">
        <f>Table2[[#This Row],[Price]]*Table2[[#This Row],[Quantity]]*Table2[[#This Row],[COUPON %]]/100</f>
        <v>0</v>
      </c>
      <c r="AD139">
        <f t="shared" si="25"/>
        <v>788.19999999999993</v>
      </c>
      <c r="AE139" s="1">
        <f t="shared" si="26"/>
        <v>788.19999999999993</v>
      </c>
    </row>
    <row r="140" spans="1:31" x14ac:dyDescent="0.25">
      <c r="A140" t="s">
        <v>484</v>
      </c>
      <c r="B140" t="str">
        <f t="shared" si="18"/>
        <v xml:space="preserve">David Delacruz </v>
      </c>
      <c r="C140" t="s">
        <v>483</v>
      </c>
      <c r="D140" t="s">
        <v>482</v>
      </c>
      <c r="E140">
        <v>26</v>
      </c>
      <c r="F140" t="str">
        <f t="shared" si="19"/>
        <v>26-35</v>
      </c>
      <c r="G140" t="s">
        <v>29</v>
      </c>
      <c r="H140" t="s">
        <v>118</v>
      </c>
      <c r="I140" t="s">
        <v>481</v>
      </c>
      <c r="J140" t="str">
        <f t="shared" si="20"/>
        <v>rediffmail.com</v>
      </c>
      <c r="K140" t="s">
        <v>480</v>
      </c>
      <c r="L140" t="s">
        <v>1604</v>
      </c>
      <c r="M140" s="2">
        <v>45108</v>
      </c>
      <c r="N140" t="s">
        <v>1603</v>
      </c>
      <c r="O140" t="s">
        <v>190</v>
      </c>
      <c r="P140">
        <v>158.53</v>
      </c>
      <c r="Q140">
        <v>5</v>
      </c>
      <c r="R140" t="s">
        <v>1</v>
      </c>
      <c r="S140" s="5">
        <v>0</v>
      </c>
      <c r="T140" s="3">
        <v>4</v>
      </c>
      <c r="U140" s="4" t="str">
        <f t="shared" si="21"/>
        <v>Before_time</v>
      </c>
      <c r="V140">
        <v>66</v>
      </c>
      <c r="W140" s="3">
        <f t="shared" si="22"/>
        <v>3</v>
      </c>
      <c r="X140" s="2">
        <v>45111</v>
      </c>
      <c r="Y140" s="1">
        <f>YEAR(Table2[[#This Row],[Delivery_Date]])</f>
        <v>2023</v>
      </c>
      <c r="Z140" s="2" t="str">
        <f t="shared" si="23"/>
        <v>Jul</v>
      </c>
      <c r="AA140" t="s">
        <v>1602</v>
      </c>
      <c r="AB140">
        <f t="shared" si="24"/>
        <v>858.65</v>
      </c>
      <c r="AC140">
        <f>Table2[[#This Row],[Price]]*Table2[[#This Row],[Quantity]]*Table2[[#This Row],[COUPON %]]/100</f>
        <v>0</v>
      </c>
      <c r="AD140">
        <f t="shared" si="25"/>
        <v>792.65</v>
      </c>
      <c r="AE140" s="1">
        <f t="shared" si="26"/>
        <v>792.65</v>
      </c>
    </row>
    <row r="141" spans="1:31" x14ac:dyDescent="0.25">
      <c r="A141" t="s">
        <v>164</v>
      </c>
      <c r="B141" t="str">
        <f t="shared" si="18"/>
        <v xml:space="preserve">Mallory Mitchell </v>
      </c>
      <c r="C141" t="s">
        <v>163</v>
      </c>
      <c r="D141" t="s">
        <v>162</v>
      </c>
      <c r="E141">
        <v>42</v>
      </c>
      <c r="F141" t="str">
        <f t="shared" si="19"/>
        <v>36-45</v>
      </c>
      <c r="G141" t="s">
        <v>29</v>
      </c>
      <c r="H141" t="s">
        <v>79</v>
      </c>
      <c r="I141" t="s">
        <v>161</v>
      </c>
      <c r="J141" t="str">
        <f t="shared" si="20"/>
        <v>yahoo.com</v>
      </c>
      <c r="K141" t="s">
        <v>160</v>
      </c>
      <c r="L141" t="s">
        <v>1601</v>
      </c>
      <c r="M141" s="2">
        <v>45283</v>
      </c>
      <c r="N141" t="s">
        <v>1600</v>
      </c>
      <c r="O141" t="s">
        <v>343</v>
      </c>
      <c r="P141">
        <v>257.06</v>
      </c>
      <c r="Q141">
        <v>3</v>
      </c>
      <c r="R141" t="s">
        <v>34</v>
      </c>
      <c r="S141" s="5">
        <v>8</v>
      </c>
      <c r="T141" s="3">
        <v>6</v>
      </c>
      <c r="U141" s="4" t="str">
        <f t="shared" si="21"/>
        <v>On_time</v>
      </c>
      <c r="V141">
        <v>65</v>
      </c>
      <c r="W141" s="3">
        <f t="shared" si="22"/>
        <v>6</v>
      </c>
      <c r="X141" s="2">
        <v>45289</v>
      </c>
      <c r="Y141" s="1">
        <f>YEAR(Table2[[#This Row],[Delivery_Date]])</f>
        <v>2023</v>
      </c>
      <c r="Z141" s="2" t="str">
        <f t="shared" si="23"/>
        <v>Dec</v>
      </c>
      <c r="AA141" t="s">
        <v>1599</v>
      </c>
      <c r="AB141">
        <f t="shared" si="24"/>
        <v>774.48560000000009</v>
      </c>
      <c r="AC141">
        <f>Table2[[#This Row],[Price]]*Table2[[#This Row],[Quantity]]*Table2[[#This Row],[COUPON %]]/100</f>
        <v>61.694400000000002</v>
      </c>
      <c r="AD141">
        <f t="shared" si="25"/>
        <v>709.48560000000009</v>
      </c>
      <c r="AE141" s="1">
        <f t="shared" si="26"/>
        <v>771.18000000000006</v>
      </c>
    </row>
    <row r="142" spans="1:31" x14ac:dyDescent="0.25">
      <c r="A142" t="s">
        <v>1264</v>
      </c>
      <c r="B142" t="str">
        <f t="shared" si="18"/>
        <v xml:space="preserve">Lindsey Byrd </v>
      </c>
      <c r="C142" t="s">
        <v>1263</v>
      </c>
      <c r="D142" t="s">
        <v>1262</v>
      </c>
      <c r="E142">
        <v>32</v>
      </c>
      <c r="F142" t="str">
        <f t="shared" si="19"/>
        <v>26-35</v>
      </c>
      <c r="G142" t="s">
        <v>108</v>
      </c>
      <c r="H142" t="s">
        <v>40</v>
      </c>
      <c r="I142" t="s">
        <v>1261</v>
      </c>
      <c r="J142" t="str">
        <f t="shared" si="20"/>
        <v>rediffmail.com</v>
      </c>
      <c r="K142" t="s">
        <v>1260</v>
      </c>
      <c r="L142" t="s">
        <v>1598</v>
      </c>
      <c r="M142" s="2">
        <v>45537</v>
      </c>
      <c r="N142" t="s">
        <v>1597</v>
      </c>
      <c r="O142" t="s">
        <v>1166</v>
      </c>
      <c r="P142">
        <v>110.95</v>
      </c>
      <c r="Q142">
        <v>4</v>
      </c>
      <c r="R142" t="s">
        <v>93</v>
      </c>
      <c r="S142" s="5">
        <v>15</v>
      </c>
      <c r="T142" s="3">
        <v>1</v>
      </c>
      <c r="U142" s="4" t="str">
        <f t="shared" si="21"/>
        <v>Late_Delivery</v>
      </c>
      <c r="V142">
        <v>60</v>
      </c>
      <c r="W142" s="3">
        <f t="shared" si="22"/>
        <v>4</v>
      </c>
      <c r="X142" s="2">
        <v>45541</v>
      </c>
      <c r="Y142" s="1">
        <f>YEAR(Table2[[#This Row],[Delivery_Date]])</f>
        <v>2024</v>
      </c>
      <c r="Z142" s="2" t="str">
        <f t="shared" si="23"/>
        <v>Sep</v>
      </c>
      <c r="AA142" t="s">
        <v>1596</v>
      </c>
      <c r="AB142">
        <f t="shared" si="24"/>
        <v>437.23</v>
      </c>
      <c r="AC142">
        <f>Table2[[#This Row],[Price]]*Table2[[#This Row],[Quantity]]*Table2[[#This Row],[COUPON %]]/100</f>
        <v>66.569999999999993</v>
      </c>
      <c r="AD142">
        <f t="shared" si="25"/>
        <v>377.23</v>
      </c>
      <c r="AE142" s="1">
        <f t="shared" si="26"/>
        <v>443.8</v>
      </c>
    </row>
    <row r="143" spans="1:31" x14ac:dyDescent="0.25">
      <c r="A143" t="s">
        <v>433</v>
      </c>
      <c r="B143" t="str">
        <f t="shared" si="18"/>
        <v xml:space="preserve">Jodi Whitney </v>
      </c>
      <c r="C143" t="s">
        <v>432</v>
      </c>
      <c r="D143" t="s">
        <v>431</v>
      </c>
      <c r="E143">
        <v>33</v>
      </c>
      <c r="F143" t="str">
        <f t="shared" si="19"/>
        <v>26-35</v>
      </c>
      <c r="G143" t="s">
        <v>8</v>
      </c>
      <c r="H143" t="s">
        <v>79</v>
      </c>
      <c r="I143" t="s">
        <v>430</v>
      </c>
      <c r="J143" t="str">
        <f t="shared" si="20"/>
        <v>yahoo.com</v>
      </c>
      <c r="K143" t="s">
        <v>429</v>
      </c>
      <c r="L143" t="s">
        <v>1595</v>
      </c>
      <c r="M143" s="2">
        <v>45609</v>
      </c>
      <c r="N143" t="s">
        <v>1594</v>
      </c>
      <c r="O143" t="s">
        <v>149</v>
      </c>
      <c r="P143">
        <v>481.48</v>
      </c>
      <c r="Q143">
        <v>5</v>
      </c>
      <c r="R143" t="s">
        <v>34</v>
      </c>
      <c r="S143" s="5">
        <v>8</v>
      </c>
      <c r="T143" s="3">
        <v>6</v>
      </c>
      <c r="U143" s="4" t="str">
        <f t="shared" si="21"/>
        <v>Before_time</v>
      </c>
      <c r="V143">
        <v>44</v>
      </c>
      <c r="W143" s="3">
        <f t="shared" si="22"/>
        <v>3</v>
      </c>
      <c r="X143" s="2">
        <v>45612</v>
      </c>
      <c r="Y143" s="1">
        <f>YEAR(Table2[[#This Row],[Delivery_Date]])</f>
        <v>2024</v>
      </c>
      <c r="Z143" s="2" t="str">
        <f t="shared" si="23"/>
        <v>Nov</v>
      </c>
      <c r="AA143" t="s">
        <v>1593</v>
      </c>
      <c r="AB143">
        <f t="shared" si="24"/>
        <v>2258.808</v>
      </c>
      <c r="AC143">
        <f>Table2[[#This Row],[Price]]*Table2[[#This Row],[Quantity]]*Table2[[#This Row],[COUPON %]]/100</f>
        <v>192.59200000000001</v>
      </c>
      <c r="AD143">
        <f t="shared" si="25"/>
        <v>2214.808</v>
      </c>
      <c r="AE143" s="1">
        <f t="shared" si="26"/>
        <v>2407.4</v>
      </c>
    </row>
    <row r="144" spans="1:31" x14ac:dyDescent="0.25">
      <c r="A144" t="s">
        <v>557</v>
      </c>
      <c r="B144" t="str">
        <f t="shared" si="18"/>
        <v xml:space="preserve">Sarah Butler </v>
      </c>
      <c r="C144" t="s">
        <v>556</v>
      </c>
      <c r="D144" t="s">
        <v>555</v>
      </c>
      <c r="E144">
        <v>64</v>
      </c>
      <c r="F144" t="str">
        <f t="shared" si="19"/>
        <v>&gt;45</v>
      </c>
      <c r="G144" t="s">
        <v>108</v>
      </c>
      <c r="H144" t="s">
        <v>107</v>
      </c>
      <c r="I144" t="s">
        <v>554</v>
      </c>
      <c r="J144" t="str">
        <f t="shared" si="20"/>
        <v>rediffmail.com</v>
      </c>
      <c r="K144" t="s">
        <v>553</v>
      </c>
      <c r="L144" t="s">
        <v>1592</v>
      </c>
      <c r="M144" s="2">
        <v>45576</v>
      </c>
      <c r="N144" t="s">
        <v>1591</v>
      </c>
      <c r="O144" t="s">
        <v>600</v>
      </c>
      <c r="P144">
        <v>292.14999999999998</v>
      </c>
      <c r="Q144">
        <v>4</v>
      </c>
      <c r="R144" t="s">
        <v>64</v>
      </c>
      <c r="S144" s="5">
        <v>20</v>
      </c>
      <c r="T144" s="3">
        <v>1</v>
      </c>
      <c r="U144" s="4" t="str">
        <f t="shared" si="21"/>
        <v>On_time</v>
      </c>
      <c r="V144">
        <v>58</v>
      </c>
      <c r="W144" s="3">
        <f t="shared" si="22"/>
        <v>1</v>
      </c>
      <c r="X144" s="2">
        <v>45577</v>
      </c>
      <c r="Y144" s="1">
        <f>YEAR(Table2[[#This Row],[Delivery_Date]])</f>
        <v>2024</v>
      </c>
      <c r="Z144" s="2" t="str">
        <f t="shared" si="23"/>
        <v>Oct</v>
      </c>
      <c r="AA144" t="s">
        <v>1590</v>
      </c>
      <c r="AB144">
        <f t="shared" si="24"/>
        <v>992.88</v>
      </c>
      <c r="AC144">
        <f>Table2[[#This Row],[Price]]*Table2[[#This Row],[Quantity]]*Table2[[#This Row],[COUPON %]]/100</f>
        <v>233.72</v>
      </c>
      <c r="AD144">
        <f t="shared" si="25"/>
        <v>934.88</v>
      </c>
      <c r="AE144" s="1">
        <f t="shared" si="26"/>
        <v>1168.5999999999999</v>
      </c>
    </row>
    <row r="145" spans="1:31" x14ac:dyDescent="0.25">
      <c r="A145" t="s">
        <v>82</v>
      </c>
      <c r="B145" t="str">
        <f t="shared" si="18"/>
        <v xml:space="preserve">Robert Castillo </v>
      </c>
      <c r="C145" t="s">
        <v>81</v>
      </c>
      <c r="D145" t="s">
        <v>80</v>
      </c>
      <c r="E145">
        <v>32</v>
      </c>
      <c r="F145" t="str">
        <f t="shared" si="19"/>
        <v>26-35</v>
      </c>
      <c r="G145" t="s">
        <v>29</v>
      </c>
      <c r="H145" t="s">
        <v>79</v>
      </c>
      <c r="I145" t="s">
        <v>78</v>
      </c>
      <c r="J145" t="str">
        <f t="shared" si="20"/>
        <v>gmail.com</v>
      </c>
      <c r="K145" t="s">
        <v>77</v>
      </c>
      <c r="L145" t="s">
        <v>1589</v>
      </c>
      <c r="M145" s="2">
        <v>45199</v>
      </c>
      <c r="N145" t="s">
        <v>1588</v>
      </c>
      <c r="O145" t="s">
        <v>531</v>
      </c>
      <c r="P145">
        <v>20</v>
      </c>
      <c r="Q145">
        <v>5</v>
      </c>
      <c r="R145" t="s">
        <v>93</v>
      </c>
      <c r="S145" s="5">
        <v>15</v>
      </c>
      <c r="T145" s="3">
        <v>7</v>
      </c>
      <c r="U145" s="4" t="str">
        <f t="shared" si="21"/>
        <v>Before_time</v>
      </c>
      <c r="V145">
        <v>40</v>
      </c>
      <c r="W145" s="3">
        <f t="shared" si="22"/>
        <v>4</v>
      </c>
      <c r="X145" s="2">
        <v>45203</v>
      </c>
      <c r="Y145" s="1">
        <f>YEAR(Table2[[#This Row],[Delivery_Date]])</f>
        <v>2023</v>
      </c>
      <c r="Z145" s="2" t="str">
        <f t="shared" si="23"/>
        <v>Oct</v>
      </c>
      <c r="AA145" t="s">
        <v>1587</v>
      </c>
      <c r="AB145">
        <f t="shared" si="24"/>
        <v>125</v>
      </c>
      <c r="AC145">
        <f>Table2[[#This Row],[Price]]*Table2[[#This Row],[Quantity]]*Table2[[#This Row],[COUPON %]]/100</f>
        <v>15</v>
      </c>
      <c r="AD145">
        <f t="shared" si="25"/>
        <v>85</v>
      </c>
      <c r="AE145" s="1">
        <f t="shared" si="26"/>
        <v>100</v>
      </c>
    </row>
    <row r="146" spans="1:31" x14ac:dyDescent="0.25">
      <c r="A146" t="s">
        <v>82</v>
      </c>
      <c r="B146" t="str">
        <f t="shared" si="18"/>
        <v xml:space="preserve">Robert Castillo </v>
      </c>
      <c r="C146" t="s">
        <v>81</v>
      </c>
      <c r="D146" t="s">
        <v>80</v>
      </c>
      <c r="E146">
        <v>32</v>
      </c>
      <c r="F146" t="str">
        <f t="shared" si="19"/>
        <v>26-35</v>
      </c>
      <c r="G146" t="s">
        <v>29</v>
      </c>
      <c r="H146" t="s">
        <v>79</v>
      </c>
      <c r="I146" t="s">
        <v>78</v>
      </c>
      <c r="J146" t="str">
        <f t="shared" si="20"/>
        <v>gmail.com</v>
      </c>
      <c r="K146" t="s">
        <v>77</v>
      </c>
      <c r="L146" t="s">
        <v>1586</v>
      </c>
      <c r="M146" s="2">
        <v>45677</v>
      </c>
      <c r="N146" t="s">
        <v>1585</v>
      </c>
      <c r="O146" t="s">
        <v>181</v>
      </c>
      <c r="P146">
        <v>405</v>
      </c>
      <c r="Q146">
        <v>2</v>
      </c>
      <c r="R146" t="s">
        <v>93</v>
      </c>
      <c r="S146" s="5">
        <v>15</v>
      </c>
      <c r="T146" s="3">
        <v>7</v>
      </c>
      <c r="U146" s="4" t="str">
        <f t="shared" si="21"/>
        <v>Before_time</v>
      </c>
      <c r="V146">
        <v>55</v>
      </c>
      <c r="W146" s="3">
        <f t="shared" si="22"/>
        <v>3</v>
      </c>
      <c r="X146" s="2">
        <v>45680</v>
      </c>
      <c r="Y146" s="1">
        <f>YEAR(Table2[[#This Row],[Delivery_Date]])</f>
        <v>2025</v>
      </c>
      <c r="Z146" s="2" t="str">
        <f t="shared" si="23"/>
        <v>Jan</v>
      </c>
      <c r="AA146" t="s">
        <v>1584</v>
      </c>
      <c r="AB146">
        <f t="shared" si="24"/>
        <v>743.5</v>
      </c>
      <c r="AC146">
        <f>Table2[[#This Row],[Price]]*Table2[[#This Row],[Quantity]]*Table2[[#This Row],[COUPON %]]/100</f>
        <v>121.5</v>
      </c>
      <c r="AD146">
        <f t="shared" si="25"/>
        <v>688.5</v>
      </c>
      <c r="AE146" s="1">
        <f t="shared" si="26"/>
        <v>810</v>
      </c>
    </row>
    <row r="147" spans="1:31" x14ac:dyDescent="0.25">
      <c r="A147" t="s">
        <v>111</v>
      </c>
      <c r="B147" t="str">
        <f t="shared" si="18"/>
        <v xml:space="preserve">Ashley Romero </v>
      </c>
      <c r="C147" t="s">
        <v>110</v>
      </c>
      <c r="D147" t="s">
        <v>109</v>
      </c>
      <c r="E147">
        <v>35</v>
      </c>
      <c r="F147" t="str">
        <f t="shared" si="19"/>
        <v>26-35</v>
      </c>
      <c r="G147" t="s">
        <v>108</v>
      </c>
      <c r="H147" t="s">
        <v>107</v>
      </c>
      <c r="I147" t="s">
        <v>106</v>
      </c>
      <c r="J147" t="str">
        <f t="shared" si="20"/>
        <v>yahoo.com</v>
      </c>
      <c r="K147" t="s">
        <v>105</v>
      </c>
      <c r="L147" t="s">
        <v>1583</v>
      </c>
      <c r="M147" s="2">
        <v>45581</v>
      </c>
      <c r="N147" t="s">
        <v>1582</v>
      </c>
      <c r="O147" t="s">
        <v>131</v>
      </c>
      <c r="P147">
        <v>48.45</v>
      </c>
      <c r="Q147">
        <v>5</v>
      </c>
      <c r="R147" t="s">
        <v>166</v>
      </c>
      <c r="S147" s="5">
        <v>10</v>
      </c>
      <c r="T147" s="3">
        <v>7</v>
      </c>
      <c r="U147" s="4" t="str">
        <f t="shared" si="21"/>
        <v>On_time</v>
      </c>
      <c r="V147">
        <v>53</v>
      </c>
      <c r="W147" s="3">
        <f t="shared" si="22"/>
        <v>7</v>
      </c>
      <c r="X147" s="2">
        <v>45588</v>
      </c>
      <c r="Y147" s="1">
        <f>YEAR(Table2[[#This Row],[Delivery_Date]])</f>
        <v>2024</v>
      </c>
      <c r="Z147" s="2" t="str">
        <f t="shared" si="23"/>
        <v>Oct</v>
      </c>
      <c r="AA147" t="s">
        <v>1581</v>
      </c>
      <c r="AB147">
        <f t="shared" si="24"/>
        <v>271.02499999999998</v>
      </c>
      <c r="AC147">
        <f>Table2[[#This Row],[Price]]*Table2[[#This Row],[Quantity]]*Table2[[#This Row],[COUPON %]]/100</f>
        <v>24.225000000000001</v>
      </c>
      <c r="AD147">
        <f t="shared" si="25"/>
        <v>218.02500000000001</v>
      </c>
      <c r="AE147" s="1">
        <f t="shared" si="26"/>
        <v>242.25</v>
      </c>
    </row>
    <row r="148" spans="1:31" x14ac:dyDescent="0.25">
      <c r="A148" t="s">
        <v>1092</v>
      </c>
      <c r="B148" t="str">
        <f t="shared" si="18"/>
        <v xml:space="preserve">Mitchell Parker </v>
      </c>
      <c r="C148" t="s">
        <v>162</v>
      </c>
      <c r="D148" t="s">
        <v>145</v>
      </c>
      <c r="E148">
        <v>39</v>
      </c>
      <c r="F148" t="str">
        <f t="shared" si="19"/>
        <v>36-45</v>
      </c>
      <c r="G148" t="s">
        <v>8</v>
      </c>
      <c r="H148" t="s">
        <v>7</v>
      </c>
      <c r="I148" t="s">
        <v>1091</v>
      </c>
      <c r="J148" t="str">
        <f t="shared" si="20"/>
        <v>yahoo.com</v>
      </c>
      <c r="K148" t="s">
        <v>1090</v>
      </c>
      <c r="L148" t="s">
        <v>1580</v>
      </c>
      <c r="M148" s="2">
        <v>45609</v>
      </c>
      <c r="N148" t="s">
        <v>1579</v>
      </c>
      <c r="O148" t="s">
        <v>569</v>
      </c>
      <c r="P148">
        <v>202.54</v>
      </c>
      <c r="Q148">
        <v>1</v>
      </c>
      <c r="R148" t="s">
        <v>34</v>
      </c>
      <c r="S148" s="5">
        <v>8</v>
      </c>
      <c r="T148" s="3">
        <v>4</v>
      </c>
      <c r="U148" s="4" t="str">
        <f t="shared" si="21"/>
        <v>Before_time</v>
      </c>
      <c r="V148">
        <v>48</v>
      </c>
      <c r="W148" s="3">
        <f t="shared" si="22"/>
        <v>2</v>
      </c>
      <c r="X148" s="2">
        <v>45611</v>
      </c>
      <c r="Y148" s="1">
        <f>YEAR(Table2[[#This Row],[Delivery_Date]])</f>
        <v>2024</v>
      </c>
      <c r="Z148" s="2" t="str">
        <f t="shared" si="23"/>
        <v>Nov</v>
      </c>
      <c r="AA148" t="s">
        <v>1578</v>
      </c>
      <c r="AB148">
        <f t="shared" si="24"/>
        <v>234.33680000000001</v>
      </c>
      <c r="AC148">
        <f>Table2[[#This Row],[Price]]*Table2[[#This Row],[Quantity]]*Table2[[#This Row],[COUPON %]]/100</f>
        <v>16.203199999999999</v>
      </c>
      <c r="AD148">
        <f t="shared" si="25"/>
        <v>186.33680000000001</v>
      </c>
      <c r="AE148" s="1">
        <f t="shared" si="26"/>
        <v>202.54</v>
      </c>
    </row>
    <row r="149" spans="1:31" x14ac:dyDescent="0.25">
      <c r="A149" t="s">
        <v>884</v>
      </c>
      <c r="B149" t="str">
        <f t="shared" si="18"/>
        <v xml:space="preserve">Kristina Haynes </v>
      </c>
      <c r="C149" t="s">
        <v>883</v>
      </c>
      <c r="D149" t="s">
        <v>882</v>
      </c>
      <c r="E149">
        <v>27</v>
      </c>
      <c r="F149" t="str">
        <f t="shared" si="19"/>
        <v>26-35</v>
      </c>
      <c r="G149" t="s">
        <v>108</v>
      </c>
      <c r="H149" t="s">
        <v>7</v>
      </c>
      <c r="I149" t="s">
        <v>881</v>
      </c>
      <c r="J149" t="str">
        <f t="shared" si="20"/>
        <v>yahoo.com</v>
      </c>
      <c r="K149" t="s">
        <v>880</v>
      </c>
      <c r="L149" t="s">
        <v>1577</v>
      </c>
      <c r="M149" s="2">
        <v>44983</v>
      </c>
      <c r="N149" t="s">
        <v>1576</v>
      </c>
      <c r="O149" t="s">
        <v>396</v>
      </c>
      <c r="P149">
        <v>286.07</v>
      </c>
      <c r="Q149">
        <v>5</v>
      </c>
      <c r="R149" t="s">
        <v>64</v>
      </c>
      <c r="S149" s="5">
        <v>20</v>
      </c>
      <c r="T149" s="3">
        <v>1</v>
      </c>
      <c r="U149" s="4" t="str">
        <f t="shared" si="21"/>
        <v>Late_Delivery</v>
      </c>
      <c r="V149">
        <v>52</v>
      </c>
      <c r="W149" s="3">
        <f t="shared" si="22"/>
        <v>3</v>
      </c>
      <c r="X149" s="2">
        <v>44986</v>
      </c>
      <c r="Y149" s="1">
        <f>YEAR(Table2[[#This Row],[Delivery_Date]])</f>
        <v>2023</v>
      </c>
      <c r="Z149" s="2" t="str">
        <f t="shared" si="23"/>
        <v>Mar</v>
      </c>
      <c r="AA149" t="s">
        <v>1575</v>
      </c>
      <c r="AB149">
        <f t="shared" si="24"/>
        <v>1196.28</v>
      </c>
      <c r="AC149">
        <f>Table2[[#This Row],[Price]]*Table2[[#This Row],[Quantity]]*Table2[[#This Row],[COUPON %]]/100</f>
        <v>286.07</v>
      </c>
      <c r="AD149">
        <f t="shared" si="25"/>
        <v>1144.28</v>
      </c>
      <c r="AE149" s="1">
        <f t="shared" si="26"/>
        <v>1430.35</v>
      </c>
    </row>
    <row r="150" spans="1:31" x14ac:dyDescent="0.25">
      <c r="A150" t="s">
        <v>179</v>
      </c>
      <c r="B150" t="str">
        <f t="shared" si="18"/>
        <v xml:space="preserve">Lori Cook </v>
      </c>
      <c r="C150" t="s">
        <v>178</v>
      </c>
      <c r="D150" t="s">
        <v>177</v>
      </c>
      <c r="E150">
        <v>18</v>
      </c>
      <c r="F150" t="str">
        <f t="shared" si="19"/>
        <v>0-25</v>
      </c>
      <c r="G150" t="s">
        <v>29</v>
      </c>
      <c r="H150" t="s">
        <v>7</v>
      </c>
      <c r="I150" t="s">
        <v>176</v>
      </c>
      <c r="J150" t="str">
        <f t="shared" si="20"/>
        <v>rediffmail.com</v>
      </c>
      <c r="K150" t="s">
        <v>175</v>
      </c>
      <c r="L150" t="s">
        <v>1574</v>
      </c>
      <c r="M150" s="2">
        <v>45378</v>
      </c>
      <c r="N150" t="s">
        <v>1573</v>
      </c>
      <c r="O150" t="s">
        <v>569</v>
      </c>
      <c r="P150">
        <v>202.54</v>
      </c>
      <c r="Q150">
        <v>4</v>
      </c>
      <c r="R150" t="s">
        <v>166</v>
      </c>
      <c r="S150" s="5">
        <v>10</v>
      </c>
      <c r="T150" s="3">
        <v>1</v>
      </c>
      <c r="U150" s="4" t="str">
        <f t="shared" si="21"/>
        <v>Late_Delivery</v>
      </c>
      <c r="V150">
        <v>36</v>
      </c>
      <c r="W150" s="3">
        <f t="shared" si="22"/>
        <v>2</v>
      </c>
      <c r="X150" s="2">
        <v>45380</v>
      </c>
      <c r="Y150" s="1">
        <f>YEAR(Table2[[#This Row],[Delivery_Date]])</f>
        <v>2024</v>
      </c>
      <c r="Z150" s="2" t="str">
        <f t="shared" si="23"/>
        <v>Mar</v>
      </c>
      <c r="AA150" t="s">
        <v>1572</v>
      </c>
      <c r="AB150">
        <f t="shared" si="24"/>
        <v>765.14400000000001</v>
      </c>
      <c r="AC150">
        <f>Table2[[#This Row],[Price]]*Table2[[#This Row],[Quantity]]*Table2[[#This Row],[COUPON %]]/100</f>
        <v>81.015999999999991</v>
      </c>
      <c r="AD150">
        <f t="shared" si="25"/>
        <v>729.14400000000001</v>
      </c>
      <c r="AE150" s="1">
        <f t="shared" si="26"/>
        <v>810.16</v>
      </c>
    </row>
    <row r="151" spans="1:31" x14ac:dyDescent="0.25">
      <c r="A151" t="s">
        <v>1559</v>
      </c>
      <c r="B151" t="str">
        <f t="shared" si="18"/>
        <v xml:space="preserve">Teresa Harvey </v>
      </c>
      <c r="C151" t="s">
        <v>1558</v>
      </c>
      <c r="D151" t="s">
        <v>1557</v>
      </c>
      <c r="E151">
        <v>64</v>
      </c>
      <c r="F151" t="str">
        <f t="shared" si="19"/>
        <v>&gt;45</v>
      </c>
      <c r="G151" t="s">
        <v>8</v>
      </c>
      <c r="H151" t="s">
        <v>107</v>
      </c>
      <c r="I151" t="s">
        <v>1556</v>
      </c>
      <c r="J151" t="str">
        <f t="shared" si="20"/>
        <v>gmail.com</v>
      </c>
      <c r="K151" t="s">
        <v>1555</v>
      </c>
      <c r="L151" t="s">
        <v>1571</v>
      </c>
      <c r="M151" s="2">
        <v>44989</v>
      </c>
      <c r="N151" t="s">
        <v>1570</v>
      </c>
      <c r="O151" t="s">
        <v>2</v>
      </c>
      <c r="P151">
        <v>44.5</v>
      </c>
      <c r="Q151">
        <v>3</v>
      </c>
      <c r="R151" t="s">
        <v>34</v>
      </c>
      <c r="S151" s="5">
        <v>8</v>
      </c>
      <c r="T151" s="3">
        <v>6</v>
      </c>
      <c r="U151" s="4" t="str">
        <f t="shared" si="21"/>
        <v>Before_time</v>
      </c>
      <c r="V151">
        <v>46</v>
      </c>
      <c r="W151" s="3">
        <f t="shared" si="22"/>
        <v>2</v>
      </c>
      <c r="X151" s="2">
        <v>44991</v>
      </c>
      <c r="Y151" s="1">
        <f>YEAR(Table2[[#This Row],[Delivery_Date]])</f>
        <v>2023</v>
      </c>
      <c r="Z151" s="2" t="str">
        <f t="shared" si="23"/>
        <v>Mar</v>
      </c>
      <c r="AA151" t="s">
        <v>1569</v>
      </c>
      <c r="AB151">
        <f t="shared" si="24"/>
        <v>168.82</v>
      </c>
      <c r="AC151">
        <f>Table2[[#This Row],[Price]]*Table2[[#This Row],[Quantity]]*Table2[[#This Row],[COUPON %]]/100</f>
        <v>10.68</v>
      </c>
      <c r="AD151">
        <f t="shared" si="25"/>
        <v>122.82000000000001</v>
      </c>
      <c r="AE151" s="1">
        <f t="shared" si="26"/>
        <v>133.5</v>
      </c>
    </row>
    <row r="152" spans="1:31" x14ac:dyDescent="0.25">
      <c r="A152" t="s">
        <v>271</v>
      </c>
      <c r="B152" t="str">
        <f t="shared" si="18"/>
        <v xml:space="preserve">Amy Griffin </v>
      </c>
      <c r="C152" t="s">
        <v>270</v>
      </c>
      <c r="D152" t="s">
        <v>269</v>
      </c>
      <c r="E152">
        <v>29</v>
      </c>
      <c r="F152" t="str">
        <f t="shared" si="19"/>
        <v>26-35</v>
      </c>
      <c r="G152" t="s">
        <v>108</v>
      </c>
      <c r="H152" t="s">
        <v>7</v>
      </c>
      <c r="I152" t="s">
        <v>268</v>
      </c>
      <c r="J152" t="str">
        <f t="shared" si="20"/>
        <v>rediffmail.com</v>
      </c>
      <c r="K152" t="s">
        <v>267</v>
      </c>
      <c r="L152" t="s">
        <v>1568</v>
      </c>
      <c r="M152" s="2">
        <v>45251</v>
      </c>
      <c r="N152" t="s">
        <v>1567</v>
      </c>
      <c r="O152" t="s">
        <v>149</v>
      </c>
      <c r="P152">
        <v>481.48</v>
      </c>
      <c r="Q152">
        <v>4</v>
      </c>
      <c r="R152" t="s">
        <v>1</v>
      </c>
      <c r="S152" s="5">
        <v>0</v>
      </c>
      <c r="T152" s="3">
        <v>3</v>
      </c>
      <c r="U152" s="4" t="str">
        <f t="shared" si="21"/>
        <v>Late_Delivery</v>
      </c>
      <c r="V152">
        <v>54</v>
      </c>
      <c r="W152" s="3">
        <f t="shared" si="22"/>
        <v>5</v>
      </c>
      <c r="X152" s="2">
        <v>45256</v>
      </c>
      <c r="Y152" s="1">
        <f>YEAR(Table2[[#This Row],[Delivery_Date]])</f>
        <v>2023</v>
      </c>
      <c r="Z152" s="2" t="str">
        <f t="shared" si="23"/>
        <v>Nov</v>
      </c>
      <c r="AA152" t="s">
        <v>1566</v>
      </c>
      <c r="AB152">
        <f t="shared" si="24"/>
        <v>1979.92</v>
      </c>
      <c r="AC152">
        <f>Table2[[#This Row],[Price]]*Table2[[#This Row],[Quantity]]*Table2[[#This Row],[COUPON %]]/100</f>
        <v>0</v>
      </c>
      <c r="AD152">
        <f t="shared" si="25"/>
        <v>1925.92</v>
      </c>
      <c r="AE152" s="1">
        <f t="shared" si="26"/>
        <v>1925.92</v>
      </c>
    </row>
    <row r="153" spans="1:31" x14ac:dyDescent="0.25">
      <c r="A153" t="s">
        <v>433</v>
      </c>
      <c r="B153" t="str">
        <f t="shared" si="18"/>
        <v xml:space="preserve">Jodi Whitney </v>
      </c>
      <c r="C153" t="s">
        <v>432</v>
      </c>
      <c r="D153" t="s">
        <v>431</v>
      </c>
      <c r="E153">
        <v>33</v>
      </c>
      <c r="F153" t="str">
        <f t="shared" si="19"/>
        <v>26-35</v>
      </c>
      <c r="G153" t="s">
        <v>8</v>
      </c>
      <c r="H153" t="s">
        <v>79</v>
      </c>
      <c r="I153" t="s">
        <v>430</v>
      </c>
      <c r="J153" t="str">
        <f t="shared" si="20"/>
        <v>yahoo.com</v>
      </c>
      <c r="K153" t="s">
        <v>429</v>
      </c>
      <c r="L153" t="s">
        <v>1565</v>
      </c>
      <c r="M153" s="2">
        <v>45200</v>
      </c>
      <c r="N153" t="s">
        <v>1564</v>
      </c>
      <c r="O153" t="s">
        <v>233</v>
      </c>
      <c r="P153">
        <v>77.84</v>
      </c>
      <c r="Q153">
        <v>5</v>
      </c>
      <c r="R153" t="s">
        <v>166</v>
      </c>
      <c r="S153" s="5">
        <v>10</v>
      </c>
      <c r="T153" s="3">
        <v>1</v>
      </c>
      <c r="U153" s="4" t="str">
        <f t="shared" si="21"/>
        <v>Late_Delivery</v>
      </c>
      <c r="V153">
        <v>41</v>
      </c>
      <c r="W153" s="3">
        <f t="shared" si="22"/>
        <v>6</v>
      </c>
      <c r="X153" s="2">
        <v>45206</v>
      </c>
      <c r="Y153" s="1">
        <f>YEAR(Table2[[#This Row],[Delivery_Date]])</f>
        <v>2023</v>
      </c>
      <c r="Z153" s="2" t="str">
        <f t="shared" si="23"/>
        <v>Oct</v>
      </c>
      <c r="AA153" t="s">
        <v>1563</v>
      </c>
      <c r="AB153">
        <f t="shared" si="24"/>
        <v>391.28000000000003</v>
      </c>
      <c r="AC153">
        <f>Table2[[#This Row],[Price]]*Table2[[#This Row],[Quantity]]*Table2[[#This Row],[COUPON %]]/100</f>
        <v>38.92</v>
      </c>
      <c r="AD153">
        <f t="shared" si="25"/>
        <v>350.28000000000003</v>
      </c>
      <c r="AE153" s="1">
        <f t="shared" si="26"/>
        <v>389.20000000000005</v>
      </c>
    </row>
    <row r="154" spans="1:31" x14ac:dyDescent="0.25">
      <c r="A154" t="s">
        <v>231</v>
      </c>
      <c r="B154" t="str">
        <f t="shared" si="18"/>
        <v xml:space="preserve">Debra Hayes </v>
      </c>
      <c r="C154" t="s">
        <v>230</v>
      </c>
      <c r="D154" t="s">
        <v>229</v>
      </c>
      <c r="E154">
        <v>33</v>
      </c>
      <c r="F154" t="str">
        <f t="shared" si="19"/>
        <v>26-35</v>
      </c>
      <c r="G154" t="s">
        <v>108</v>
      </c>
      <c r="H154" t="s">
        <v>79</v>
      </c>
      <c r="I154" t="s">
        <v>228</v>
      </c>
      <c r="J154" t="str">
        <f t="shared" si="20"/>
        <v>yahoo.com</v>
      </c>
      <c r="K154" t="s">
        <v>227</v>
      </c>
      <c r="L154" t="s">
        <v>1562</v>
      </c>
      <c r="M154" s="2">
        <v>45330</v>
      </c>
      <c r="N154" t="s">
        <v>1561</v>
      </c>
      <c r="O154" t="s">
        <v>264</v>
      </c>
      <c r="P154">
        <v>496.59</v>
      </c>
      <c r="Q154">
        <v>2</v>
      </c>
      <c r="R154" t="s">
        <v>166</v>
      </c>
      <c r="S154" s="5">
        <v>10</v>
      </c>
      <c r="T154" s="3">
        <v>5</v>
      </c>
      <c r="U154" s="4" t="str">
        <f t="shared" si="21"/>
        <v>Before_time</v>
      </c>
      <c r="V154">
        <v>40</v>
      </c>
      <c r="W154" s="3">
        <f t="shared" si="22"/>
        <v>1</v>
      </c>
      <c r="X154" s="2">
        <v>45331</v>
      </c>
      <c r="Y154" s="1">
        <f>YEAR(Table2[[#This Row],[Delivery_Date]])</f>
        <v>2024</v>
      </c>
      <c r="Z154" s="2" t="str">
        <f t="shared" si="23"/>
        <v>Feb</v>
      </c>
      <c r="AA154" t="s">
        <v>1560</v>
      </c>
      <c r="AB154">
        <f t="shared" si="24"/>
        <v>933.86199999999997</v>
      </c>
      <c r="AC154">
        <f>Table2[[#This Row],[Price]]*Table2[[#This Row],[Quantity]]*Table2[[#This Row],[COUPON %]]/100</f>
        <v>99.317999999999998</v>
      </c>
      <c r="AD154">
        <f t="shared" si="25"/>
        <v>893.86199999999997</v>
      </c>
      <c r="AE154" s="1">
        <f t="shared" si="26"/>
        <v>993.18</v>
      </c>
    </row>
    <row r="155" spans="1:31" x14ac:dyDescent="0.25">
      <c r="A155" t="s">
        <v>1559</v>
      </c>
      <c r="B155" t="str">
        <f t="shared" si="18"/>
        <v xml:space="preserve">Teresa Harvey </v>
      </c>
      <c r="C155" t="s">
        <v>1558</v>
      </c>
      <c r="D155" t="s">
        <v>1557</v>
      </c>
      <c r="E155">
        <v>64</v>
      </c>
      <c r="F155" t="str">
        <f t="shared" si="19"/>
        <v>&gt;45</v>
      </c>
      <c r="G155" t="s">
        <v>8</v>
      </c>
      <c r="H155" t="s">
        <v>107</v>
      </c>
      <c r="I155" t="s">
        <v>1556</v>
      </c>
      <c r="J155" t="str">
        <f t="shared" si="20"/>
        <v>gmail.com</v>
      </c>
      <c r="K155" t="s">
        <v>1555</v>
      </c>
      <c r="L155" t="s">
        <v>1554</v>
      </c>
      <c r="M155" s="2">
        <v>45129</v>
      </c>
      <c r="N155" t="s">
        <v>1553</v>
      </c>
      <c r="O155" t="s">
        <v>54</v>
      </c>
      <c r="P155">
        <v>220.27</v>
      </c>
      <c r="Q155">
        <v>3</v>
      </c>
      <c r="R155" t="s">
        <v>34</v>
      </c>
      <c r="S155" s="5">
        <v>8</v>
      </c>
      <c r="T155" s="3">
        <v>6</v>
      </c>
      <c r="U155" s="4" t="str">
        <f t="shared" si="21"/>
        <v>Before_time</v>
      </c>
      <c r="V155">
        <v>48</v>
      </c>
      <c r="W155" s="3">
        <f t="shared" si="22"/>
        <v>3</v>
      </c>
      <c r="X155" s="2">
        <v>45132</v>
      </c>
      <c r="Y155" s="1">
        <f>YEAR(Table2[[#This Row],[Delivery_Date]])</f>
        <v>2023</v>
      </c>
      <c r="Z155" s="2" t="str">
        <f t="shared" si="23"/>
        <v>Jul</v>
      </c>
      <c r="AA155" t="s">
        <v>1552</v>
      </c>
      <c r="AB155">
        <f t="shared" si="24"/>
        <v>655.94520000000011</v>
      </c>
      <c r="AC155">
        <f>Table2[[#This Row],[Price]]*Table2[[#This Row],[Quantity]]*Table2[[#This Row],[COUPON %]]/100</f>
        <v>52.864800000000002</v>
      </c>
      <c r="AD155">
        <f t="shared" si="25"/>
        <v>607.94520000000011</v>
      </c>
      <c r="AE155" s="1">
        <f t="shared" si="26"/>
        <v>660.81000000000006</v>
      </c>
    </row>
    <row r="156" spans="1:31" x14ac:dyDescent="0.25">
      <c r="A156" t="s">
        <v>1187</v>
      </c>
      <c r="B156" t="str">
        <f t="shared" si="18"/>
        <v xml:space="preserve">Lauren Long </v>
      </c>
      <c r="C156" t="s">
        <v>254</v>
      </c>
      <c r="D156" t="s">
        <v>1186</v>
      </c>
      <c r="E156">
        <v>44</v>
      </c>
      <c r="F156" t="str">
        <f t="shared" si="19"/>
        <v>36-45</v>
      </c>
      <c r="G156" t="s">
        <v>108</v>
      </c>
      <c r="H156" t="s">
        <v>18</v>
      </c>
      <c r="I156" t="s">
        <v>1185</v>
      </c>
      <c r="J156" t="str">
        <f t="shared" si="20"/>
        <v>gmail.com</v>
      </c>
      <c r="K156" t="s">
        <v>1184</v>
      </c>
      <c r="L156" t="s">
        <v>1551</v>
      </c>
      <c r="M156" s="2">
        <v>45584</v>
      </c>
      <c r="N156" t="s">
        <v>1550</v>
      </c>
      <c r="O156" t="s">
        <v>74</v>
      </c>
      <c r="P156">
        <v>129.75</v>
      </c>
      <c r="Q156">
        <v>1</v>
      </c>
      <c r="R156" t="s">
        <v>1</v>
      </c>
      <c r="S156" s="5">
        <v>0</v>
      </c>
      <c r="T156" s="3">
        <v>7</v>
      </c>
      <c r="U156" s="4" t="str">
        <f t="shared" si="21"/>
        <v>On_time</v>
      </c>
      <c r="V156">
        <v>44</v>
      </c>
      <c r="W156" s="3">
        <f t="shared" si="22"/>
        <v>7</v>
      </c>
      <c r="X156" s="2">
        <v>45591</v>
      </c>
      <c r="Y156" s="1">
        <f>YEAR(Table2[[#This Row],[Delivery_Date]])</f>
        <v>2024</v>
      </c>
      <c r="Z156" s="2" t="str">
        <f t="shared" si="23"/>
        <v>Oct</v>
      </c>
      <c r="AA156" t="s">
        <v>1549</v>
      </c>
      <c r="AB156">
        <f t="shared" si="24"/>
        <v>173.75</v>
      </c>
      <c r="AC156">
        <f>Table2[[#This Row],[Price]]*Table2[[#This Row],[Quantity]]*Table2[[#This Row],[COUPON %]]/100</f>
        <v>0</v>
      </c>
      <c r="AD156">
        <f t="shared" si="25"/>
        <v>129.75</v>
      </c>
      <c r="AE156" s="1">
        <f t="shared" si="26"/>
        <v>129.75</v>
      </c>
    </row>
    <row r="157" spans="1:31" x14ac:dyDescent="0.25">
      <c r="A157" t="s">
        <v>492</v>
      </c>
      <c r="B157" t="str">
        <f t="shared" si="18"/>
        <v xml:space="preserve">Barbara Fuller </v>
      </c>
      <c r="C157" t="s">
        <v>491</v>
      </c>
      <c r="D157" t="s">
        <v>490</v>
      </c>
      <c r="E157">
        <v>43</v>
      </c>
      <c r="F157" t="str">
        <f t="shared" si="19"/>
        <v>36-45</v>
      </c>
      <c r="G157" t="s">
        <v>8</v>
      </c>
      <c r="H157" t="s">
        <v>40</v>
      </c>
      <c r="I157" t="s">
        <v>489</v>
      </c>
      <c r="J157" t="str">
        <f t="shared" si="20"/>
        <v>rediffmail.com</v>
      </c>
      <c r="K157" t="s">
        <v>488</v>
      </c>
      <c r="L157" t="s">
        <v>1548</v>
      </c>
      <c r="M157" s="2">
        <v>45291</v>
      </c>
      <c r="N157" t="s">
        <v>1547</v>
      </c>
      <c r="O157" t="s">
        <v>519</v>
      </c>
      <c r="P157">
        <v>136.30000000000001</v>
      </c>
      <c r="Q157">
        <v>1</v>
      </c>
      <c r="R157" t="s">
        <v>93</v>
      </c>
      <c r="S157" s="5">
        <v>15</v>
      </c>
      <c r="T157" s="3">
        <v>1</v>
      </c>
      <c r="U157" s="4" t="str">
        <f t="shared" si="21"/>
        <v>Late_Delivery</v>
      </c>
      <c r="V157">
        <v>64</v>
      </c>
      <c r="W157" s="3">
        <f t="shared" si="22"/>
        <v>5</v>
      </c>
      <c r="X157" s="2">
        <v>45296</v>
      </c>
      <c r="Y157" s="1">
        <f>YEAR(Table2[[#This Row],[Delivery_Date]])</f>
        <v>2024</v>
      </c>
      <c r="Z157" s="2" t="str">
        <f t="shared" si="23"/>
        <v>Jan</v>
      </c>
      <c r="AA157" t="s">
        <v>1546</v>
      </c>
      <c r="AB157">
        <f t="shared" si="24"/>
        <v>179.85500000000002</v>
      </c>
      <c r="AC157">
        <f>Table2[[#This Row],[Price]]*Table2[[#This Row],[Quantity]]*Table2[[#This Row],[COUPON %]]/100</f>
        <v>20.445000000000004</v>
      </c>
      <c r="AD157">
        <f t="shared" si="25"/>
        <v>115.855</v>
      </c>
      <c r="AE157" s="1">
        <f t="shared" si="26"/>
        <v>136.30000000000001</v>
      </c>
    </row>
    <row r="158" spans="1:31" x14ac:dyDescent="0.25">
      <c r="A158" t="s">
        <v>613</v>
      </c>
      <c r="B158" t="str">
        <f t="shared" si="18"/>
        <v xml:space="preserve">Mary Knight </v>
      </c>
      <c r="C158" t="s">
        <v>612</v>
      </c>
      <c r="D158" t="s">
        <v>611</v>
      </c>
      <c r="E158">
        <v>28</v>
      </c>
      <c r="F158" t="str">
        <f t="shared" si="19"/>
        <v>26-35</v>
      </c>
      <c r="G158" t="s">
        <v>8</v>
      </c>
      <c r="H158" t="s">
        <v>28</v>
      </c>
      <c r="I158" t="s">
        <v>610</v>
      </c>
      <c r="J158" t="str">
        <f t="shared" si="20"/>
        <v>yahoo.com</v>
      </c>
      <c r="K158" t="s">
        <v>609</v>
      </c>
      <c r="L158" t="s">
        <v>1545</v>
      </c>
      <c r="M158" s="2">
        <v>45482</v>
      </c>
      <c r="N158" t="s">
        <v>1544</v>
      </c>
      <c r="O158" t="s">
        <v>396</v>
      </c>
      <c r="P158">
        <v>286.07</v>
      </c>
      <c r="Q158">
        <v>2</v>
      </c>
      <c r="R158" t="s">
        <v>34</v>
      </c>
      <c r="S158" s="5">
        <v>8</v>
      </c>
      <c r="T158" s="3">
        <v>3</v>
      </c>
      <c r="U158" s="4" t="str">
        <f t="shared" si="21"/>
        <v>On_time</v>
      </c>
      <c r="V158">
        <v>54</v>
      </c>
      <c r="W158" s="3">
        <f t="shared" si="22"/>
        <v>3</v>
      </c>
      <c r="X158" s="2">
        <v>45485</v>
      </c>
      <c r="Y158" s="1">
        <f>YEAR(Table2[[#This Row],[Delivery_Date]])</f>
        <v>2024</v>
      </c>
      <c r="Z158" s="2" t="str">
        <f t="shared" si="23"/>
        <v>Jul</v>
      </c>
      <c r="AA158" t="s">
        <v>1543</v>
      </c>
      <c r="AB158">
        <f t="shared" si="24"/>
        <v>580.36879999999996</v>
      </c>
      <c r="AC158">
        <f>Table2[[#This Row],[Price]]*Table2[[#This Row],[Quantity]]*Table2[[#This Row],[COUPON %]]/100</f>
        <v>45.7712</v>
      </c>
      <c r="AD158">
        <f t="shared" si="25"/>
        <v>526.36879999999996</v>
      </c>
      <c r="AE158" s="1">
        <f t="shared" si="26"/>
        <v>572.14</v>
      </c>
    </row>
    <row r="159" spans="1:31" x14ac:dyDescent="0.25">
      <c r="A159" t="s">
        <v>557</v>
      </c>
      <c r="B159" t="str">
        <f t="shared" si="18"/>
        <v xml:space="preserve">Sarah Butler </v>
      </c>
      <c r="C159" t="s">
        <v>556</v>
      </c>
      <c r="D159" t="s">
        <v>555</v>
      </c>
      <c r="E159">
        <v>64</v>
      </c>
      <c r="F159" t="str">
        <f t="shared" si="19"/>
        <v>&gt;45</v>
      </c>
      <c r="G159" t="s">
        <v>108</v>
      </c>
      <c r="H159" t="s">
        <v>107</v>
      </c>
      <c r="I159" t="s">
        <v>554</v>
      </c>
      <c r="J159" t="str">
        <f t="shared" si="20"/>
        <v>rediffmail.com</v>
      </c>
      <c r="K159" t="s">
        <v>553</v>
      </c>
      <c r="L159" t="s">
        <v>1542</v>
      </c>
      <c r="M159" s="2">
        <v>45089</v>
      </c>
      <c r="N159" t="s">
        <v>1541</v>
      </c>
      <c r="O159" t="s">
        <v>457</v>
      </c>
      <c r="P159">
        <v>363.64</v>
      </c>
      <c r="Q159">
        <v>2</v>
      </c>
      <c r="R159" t="s">
        <v>1</v>
      </c>
      <c r="S159" s="5">
        <v>0</v>
      </c>
      <c r="T159" s="3">
        <v>4</v>
      </c>
      <c r="U159" s="4" t="str">
        <f t="shared" si="21"/>
        <v>Before_time</v>
      </c>
      <c r="V159">
        <v>40</v>
      </c>
      <c r="W159" s="3">
        <f t="shared" si="22"/>
        <v>2</v>
      </c>
      <c r="X159" s="2">
        <v>45091</v>
      </c>
      <c r="Y159" s="1">
        <f>YEAR(Table2[[#This Row],[Delivery_Date]])</f>
        <v>2023</v>
      </c>
      <c r="Z159" s="2" t="str">
        <f t="shared" si="23"/>
        <v>Jun</v>
      </c>
      <c r="AA159" t="s">
        <v>1540</v>
      </c>
      <c r="AB159">
        <f t="shared" si="24"/>
        <v>767.28</v>
      </c>
      <c r="AC159">
        <f>Table2[[#This Row],[Price]]*Table2[[#This Row],[Quantity]]*Table2[[#This Row],[COUPON %]]/100</f>
        <v>0</v>
      </c>
      <c r="AD159">
        <f t="shared" si="25"/>
        <v>727.28</v>
      </c>
      <c r="AE159" s="1">
        <f t="shared" si="26"/>
        <v>727.28</v>
      </c>
    </row>
    <row r="160" spans="1:31" x14ac:dyDescent="0.25">
      <c r="A160" t="s">
        <v>613</v>
      </c>
      <c r="B160" t="str">
        <f t="shared" si="18"/>
        <v xml:space="preserve">Mary Knight </v>
      </c>
      <c r="C160" t="s">
        <v>612</v>
      </c>
      <c r="D160" t="s">
        <v>611</v>
      </c>
      <c r="E160">
        <v>28</v>
      </c>
      <c r="F160" t="str">
        <f t="shared" si="19"/>
        <v>26-35</v>
      </c>
      <c r="G160" t="s">
        <v>8</v>
      </c>
      <c r="H160" t="s">
        <v>28</v>
      </c>
      <c r="I160" t="s">
        <v>610</v>
      </c>
      <c r="J160" t="str">
        <f t="shared" si="20"/>
        <v>yahoo.com</v>
      </c>
      <c r="K160" t="s">
        <v>609</v>
      </c>
      <c r="L160" t="s">
        <v>1539</v>
      </c>
      <c r="M160" s="2">
        <v>45610</v>
      </c>
      <c r="N160" t="s">
        <v>1538</v>
      </c>
      <c r="O160" t="s">
        <v>281</v>
      </c>
      <c r="P160">
        <v>445.81</v>
      </c>
      <c r="Q160">
        <v>5</v>
      </c>
      <c r="R160" t="s">
        <v>34</v>
      </c>
      <c r="S160" s="5">
        <v>8</v>
      </c>
      <c r="T160" s="3">
        <v>6</v>
      </c>
      <c r="U160" s="4" t="str">
        <f t="shared" si="21"/>
        <v>Before_time</v>
      </c>
      <c r="V160">
        <v>70</v>
      </c>
      <c r="W160" s="3">
        <f t="shared" si="22"/>
        <v>3</v>
      </c>
      <c r="X160" s="2">
        <v>45613</v>
      </c>
      <c r="Y160" s="1">
        <f>YEAR(Table2[[#This Row],[Delivery_Date]])</f>
        <v>2024</v>
      </c>
      <c r="Z160" s="2" t="str">
        <f t="shared" si="23"/>
        <v>Nov</v>
      </c>
      <c r="AA160" t="s">
        <v>1537</v>
      </c>
      <c r="AB160">
        <f t="shared" si="24"/>
        <v>2120.7260000000001</v>
      </c>
      <c r="AC160">
        <f>Table2[[#This Row],[Price]]*Table2[[#This Row],[Quantity]]*Table2[[#This Row],[COUPON %]]/100</f>
        <v>178.32400000000001</v>
      </c>
      <c r="AD160">
        <f t="shared" si="25"/>
        <v>2050.7260000000001</v>
      </c>
      <c r="AE160" s="1">
        <f t="shared" si="26"/>
        <v>2229.0500000000002</v>
      </c>
    </row>
    <row r="161" spans="1:31" x14ac:dyDescent="0.25">
      <c r="A161" t="s">
        <v>727</v>
      </c>
      <c r="B161" t="str">
        <f t="shared" si="18"/>
        <v xml:space="preserve">Rachael Robinson </v>
      </c>
      <c r="C161" t="s">
        <v>726</v>
      </c>
      <c r="D161" t="s">
        <v>725</v>
      </c>
      <c r="E161">
        <v>24</v>
      </c>
      <c r="F161" t="str">
        <f t="shared" si="19"/>
        <v>0-25</v>
      </c>
      <c r="G161" t="s">
        <v>8</v>
      </c>
      <c r="H161" t="s">
        <v>18</v>
      </c>
      <c r="I161" t="s">
        <v>724</v>
      </c>
      <c r="J161" t="str">
        <f t="shared" si="20"/>
        <v>rediffmail.com</v>
      </c>
      <c r="K161" t="s">
        <v>723</v>
      </c>
      <c r="L161" t="s">
        <v>1536</v>
      </c>
      <c r="M161" s="2">
        <v>45045</v>
      </c>
      <c r="N161" t="s">
        <v>1535</v>
      </c>
      <c r="O161" t="s">
        <v>1166</v>
      </c>
      <c r="P161">
        <v>110.95</v>
      </c>
      <c r="Q161">
        <v>5</v>
      </c>
      <c r="R161" t="s">
        <v>64</v>
      </c>
      <c r="S161" s="5">
        <v>20</v>
      </c>
      <c r="T161" s="3">
        <v>5</v>
      </c>
      <c r="U161" s="4" t="str">
        <f t="shared" si="21"/>
        <v>Before_time</v>
      </c>
      <c r="V161">
        <v>62</v>
      </c>
      <c r="W161" s="3">
        <f t="shared" si="22"/>
        <v>2</v>
      </c>
      <c r="X161" s="2">
        <v>45047</v>
      </c>
      <c r="Y161" s="1">
        <f>YEAR(Table2[[#This Row],[Delivery_Date]])</f>
        <v>2023</v>
      </c>
      <c r="Z161" s="2" t="str">
        <f t="shared" si="23"/>
        <v>May</v>
      </c>
      <c r="AA161" t="s">
        <v>1534</v>
      </c>
      <c r="AB161">
        <f t="shared" si="24"/>
        <v>505.8</v>
      </c>
      <c r="AC161">
        <f>Table2[[#This Row],[Price]]*Table2[[#This Row],[Quantity]]*Table2[[#This Row],[COUPON %]]/100</f>
        <v>110.95</v>
      </c>
      <c r="AD161">
        <f t="shared" si="25"/>
        <v>443.8</v>
      </c>
      <c r="AE161" s="1">
        <f t="shared" si="26"/>
        <v>554.75</v>
      </c>
    </row>
    <row r="162" spans="1:31" x14ac:dyDescent="0.25">
      <c r="A162" t="s">
        <v>91</v>
      </c>
      <c r="B162" t="str">
        <f t="shared" si="18"/>
        <v xml:space="preserve">Brittany Stewart </v>
      </c>
      <c r="C162" t="s">
        <v>90</v>
      </c>
      <c r="D162" t="s">
        <v>89</v>
      </c>
      <c r="E162">
        <v>68</v>
      </c>
      <c r="F162" t="str">
        <f t="shared" si="19"/>
        <v>&gt;45</v>
      </c>
      <c r="G162" t="s">
        <v>8</v>
      </c>
      <c r="H162" t="s">
        <v>18</v>
      </c>
      <c r="I162" t="s">
        <v>88</v>
      </c>
      <c r="J162" t="str">
        <f t="shared" si="20"/>
        <v>gmail.com</v>
      </c>
      <c r="K162" t="s">
        <v>87</v>
      </c>
      <c r="L162" t="s">
        <v>1533</v>
      </c>
      <c r="M162" s="2">
        <v>45529</v>
      </c>
      <c r="N162" t="s">
        <v>1532</v>
      </c>
      <c r="O162" t="s">
        <v>466</v>
      </c>
      <c r="P162">
        <v>104.18</v>
      </c>
      <c r="Q162">
        <v>4</v>
      </c>
      <c r="R162" t="s">
        <v>34</v>
      </c>
      <c r="S162" s="5">
        <v>8</v>
      </c>
      <c r="T162" s="3">
        <v>4</v>
      </c>
      <c r="U162" s="4" t="str">
        <f t="shared" si="21"/>
        <v>Late_Delivery</v>
      </c>
      <c r="V162">
        <v>45</v>
      </c>
      <c r="W162" s="3">
        <f t="shared" si="22"/>
        <v>7</v>
      </c>
      <c r="X162" s="2">
        <v>45536</v>
      </c>
      <c r="Y162" s="1">
        <f>YEAR(Table2[[#This Row],[Delivery_Date]])</f>
        <v>2024</v>
      </c>
      <c r="Z162" s="2" t="str">
        <f t="shared" si="23"/>
        <v>Sep</v>
      </c>
      <c r="AA162" t="s">
        <v>1531</v>
      </c>
      <c r="AB162">
        <f t="shared" si="24"/>
        <v>428.38240000000002</v>
      </c>
      <c r="AC162">
        <f>Table2[[#This Row],[Price]]*Table2[[#This Row],[Quantity]]*Table2[[#This Row],[COUPON %]]/100</f>
        <v>33.337600000000002</v>
      </c>
      <c r="AD162">
        <f t="shared" si="25"/>
        <v>383.38240000000002</v>
      </c>
      <c r="AE162" s="1">
        <f t="shared" si="26"/>
        <v>416.72</v>
      </c>
    </row>
    <row r="163" spans="1:31" x14ac:dyDescent="0.25">
      <c r="A163" t="s">
        <v>179</v>
      </c>
      <c r="B163" t="str">
        <f t="shared" si="18"/>
        <v xml:space="preserve">Lori Cook </v>
      </c>
      <c r="C163" t="s">
        <v>178</v>
      </c>
      <c r="D163" t="s">
        <v>177</v>
      </c>
      <c r="E163">
        <v>18</v>
      </c>
      <c r="F163" t="str">
        <f t="shared" si="19"/>
        <v>0-25</v>
      </c>
      <c r="G163" t="s">
        <v>29</v>
      </c>
      <c r="H163" t="s">
        <v>7</v>
      </c>
      <c r="I163" t="s">
        <v>176</v>
      </c>
      <c r="J163" t="str">
        <f t="shared" si="20"/>
        <v>rediffmail.com</v>
      </c>
      <c r="K163" t="s">
        <v>175</v>
      </c>
      <c r="L163" t="s">
        <v>1530</v>
      </c>
      <c r="M163" s="2">
        <v>45535</v>
      </c>
      <c r="N163" t="s">
        <v>1529</v>
      </c>
      <c r="O163" t="s">
        <v>264</v>
      </c>
      <c r="P163">
        <v>496.59</v>
      </c>
      <c r="Q163">
        <v>4</v>
      </c>
      <c r="R163" t="s">
        <v>64</v>
      </c>
      <c r="S163" s="5">
        <v>20</v>
      </c>
      <c r="T163" s="3">
        <v>1</v>
      </c>
      <c r="U163" s="4" t="str">
        <f t="shared" si="21"/>
        <v>Late_Delivery</v>
      </c>
      <c r="V163">
        <v>59</v>
      </c>
      <c r="W163" s="3">
        <f t="shared" si="22"/>
        <v>6</v>
      </c>
      <c r="X163" s="2">
        <v>45541</v>
      </c>
      <c r="Y163" s="1">
        <f>YEAR(Table2[[#This Row],[Delivery_Date]])</f>
        <v>2024</v>
      </c>
      <c r="Z163" s="2" t="str">
        <f t="shared" si="23"/>
        <v>Sep</v>
      </c>
      <c r="AA163" t="s">
        <v>1528</v>
      </c>
      <c r="AB163">
        <f t="shared" si="24"/>
        <v>1648.088</v>
      </c>
      <c r="AC163">
        <f>Table2[[#This Row],[Price]]*Table2[[#This Row],[Quantity]]*Table2[[#This Row],[COUPON %]]/100</f>
        <v>397.27199999999999</v>
      </c>
      <c r="AD163">
        <f t="shared" si="25"/>
        <v>1589.088</v>
      </c>
      <c r="AE163" s="1">
        <f t="shared" si="26"/>
        <v>1986.36</v>
      </c>
    </row>
    <row r="164" spans="1:31" x14ac:dyDescent="0.25">
      <c r="A164" t="s">
        <v>1527</v>
      </c>
      <c r="B164" t="str">
        <f t="shared" si="18"/>
        <v xml:space="preserve">Bobby Forbes </v>
      </c>
      <c r="C164" t="s">
        <v>1526</v>
      </c>
      <c r="D164" t="s">
        <v>1525</v>
      </c>
      <c r="E164">
        <v>20</v>
      </c>
      <c r="F164" t="str">
        <f t="shared" si="19"/>
        <v>0-25</v>
      </c>
      <c r="G164" t="s">
        <v>108</v>
      </c>
      <c r="H164" t="s">
        <v>118</v>
      </c>
      <c r="I164" t="s">
        <v>1524</v>
      </c>
      <c r="J164" t="str">
        <f t="shared" si="20"/>
        <v>gmail.com</v>
      </c>
      <c r="K164" t="s">
        <v>1523</v>
      </c>
      <c r="L164" t="s">
        <v>1522</v>
      </c>
      <c r="M164" s="2">
        <v>44981</v>
      </c>
      <c r="N164" t="s">
        <v>1521</v>
      </c>
      <c r="O164" t="s">
        <v>123</v>
      </c>
      <c r="P164">
        <v>107.47</v>
      </c>
      <c r="Q164">
        <v>5</v>
      </c>
      <c r="R164" t="s">
        <v>64</v>
      </c>
      <c r="S164" s="5">
        <v>20</v>
      </c>
      <c r="T164" s="3">
        <v>6</v>
      </c>
      <c r="U164" s="4" t="str">
        <f t="shared" si="21"/>
        <v>On_time</v>
      </c>
      <c r="V164">
        <v>48</v>
      </c>
      <c r="W164" s="3">
        <f t="shared" si="22"/>
        <v>6</v>
      </c>
      <c r="X164" s="2">
        <v>44987</v>
      </c>
      <c r="Y164" s="1">
        <f>YEAR(Table2[[#This Row],[Delivery_Date]])</f>
        <v>2023</v>
      </c>
      <c r="Z164" s="2" t="str">
        <f t="shared" si="23"/>
        <v>Mar</v>
      </c>
      <c r="AA164" t="s">
        <v>1520</v>
      </c>
      <c r="AB164">
        <f t="shared" si="24"/>
        <v>477.88000000000005</v>
      </c>
      <c r="AC164">
        <f>Table2[[#This Row],[Price]]*Table2[[#This Row],[Quantity]]*Table2[[#This Row],[COUPON %]]/100</f>
        <v>107.47</v>
      </c>
      <c r="AD164">
        <f t="shared" si="25"/>
        <v>429.88000000000005</v>
      </c>
      <c r="AE164" s="1">
        <f t="shared" si="26"/>
        <v>537.35</v>
      </c>
    </row>
    <row r="165" spans="1:31" x14ac:dyDescent="0.25">
      <c r="A165" t="s">
        <v>727</v>
      </c>
      <c r="B165" t="str">
        <f t="shared" si="18"/>
        <v xml:space="preserve">Rachael Robinson </v>
      </c>
      <c r="C165" t="s">
        <v>726</v>
      </c>
      <c r="D165" t="s">
        <v>725</v>
      </c>
      <c r="E165">
        <v>24</v>
      </c>
      <c r="F165" t="str">
        <f t="shared" si="19"/>
        <v>0-25</v>
      </c>
      <c r="G165" t="s">
        <v>8</v>
      </c>
      <c r="H165" t="s">
        <v>18</v>
      </c>
      <c r="I165" t="s">
        <v>724</v>
      </c>
      <c r="J165" t="str">
        <f t="shared" si="20"/>
        <v>rediffmail.com</v>
      </c>
      <c r="K165" t="s">
        <v>723</v>
      </c>
      <c r="L165" t="s">
        <v>1519</v>
      </c>
      <c r="M165" s="2">
        <v>45207</v>
      </c>
      <c r="N165" t="s">
        <v>1518</v>
      </c>
      <c r="O165" t="s">
        <v>615</v>
      </c>
      <c r="P165">
        <v>282.63</v>
      </c>
      <c r="Q165">
        <v>1</v>
      </c>
      <c r="R165" t="s">
        <v>1</v>
      </c>
      <c r="S165" s="5">
        <v>0</v>
      </c>
      <c r="T165" s="3">
        <v>5</v>
      </c>
      <c r="U165" s="4" t="str">
        <f t="shared" si="21"/>
        <v>Late_Delivery</v>
      </c>
      <c r="V165">
        <v>45</v>
      </c>
      <c r="W165" s="3">
        <f t="shared" si="22"/>
        <v>7</v>
      </c>
      <c r="X165" s="2">
        <v>45214</v>
      </c>
      <c r="Y165" s="1">
        <f>YEAR(Table2[[#This Row],[Delivery_Date]])</f>
        <v>2023</v>
      </c>
      <c r="Z165" s="2" t="str">
        <f t="shared" si="23"/>
        <v>Oct</v>
      </c>
      <c r="AA165" t="s">
        <v>1517</v>
      </c>
      <c r="AB165">
        <f t="shared" si="24"/>
        <v>327.63</v>
      </c>
      <c r="AC165">
        <f>Table2[[#This Row],[Price]]*Table2[[#This Row],[Quantity]]*Table2[[#This Row],[COUPON %]]/100</f>
        <v>0</v>
      </c>
      <c r="AD165">
        <f t="shared" si="25"/>
        <v>282.63</v>
      </c>
      <c r="AE165" s="1">
        <f t="shared" si="26"/>
        <v>282.63</v>
      </c>
    </row>
    <row r="166" spans="1:31" x14ac:dyDescent="0.25">
      <c r="A166" t="s">
        <v>129</v>
      </c>
      <c r="B166" t="str">
        <f t="shared" si="18"/>
        <v xml:space="preserve">Joseph Stewart </v>
      </c>
      <c r="C166" t="s">
        <v>128</v>
      </c>
      <c r="D166" t="s">
        <v>89</v>
      </c>
      <c r="E166">
        <v>30</v>
      </c>
      <c r="F166" t="str">
        <f t="shared" si="19"/>
        <v>26-35</v>
      </c>
      <c r="G166" t="s">
        <v>29</v>
      </c>
      <c r="H166" t="s">
        <v>7</v>
      </c>
      <c r="I166" t="s">
        <v>127</v>
      </c>
      <c r="J166" t="str">
        <f t="shared" si="20"/>
        <v>yahoo.com</v>
      </c>
      <c r="K166" t="s">
        <v>126</v>
      </c>
      <c r="L166" t="s">
        <v>1516</v>
      </c>
      <c r="M166" s="2">
        <v>45185</v>
      </c>
      <c r="N166" t="s">
        <v>1515</v>
      </c>
      <c r="O166" t="s">
        <v>426</v>
      </c>
      <c r="P166">
        <v>369.03</v>
      </c>
      <c r="Q166">
        <v>1</v>
      </c>
      <c r="R166" t="s">
        <v>64</v>
      </c>
      <c r="S166" s="5">
        <v>20</v>
      </c>
      <c r="T166" s="3">
        <v>1</v>
      </c>
      <c r="U166" s="4" t="str">
        <f t="shared" si="21"/>
        <v>Late_Delivery</v>
      </c>
      <c r="V166">
        <v>48</v>
      </c>
      <c r="W166" s="3">
        <f t="shared" si="22"/>
        <v>7</v>
      </c>
      <c r="X166" s="2">
        <v>45192</v>
      </c>
      <c r="Y166" s="1">
        <f>YEAR(Table2[[#This Row],[Delivery_Date]])</f>
        <v>2023</v>
      </c>
      <c r="Z166" s="2" t="str">
        <f t="shared" si="23"/>
        <v>Sep</v>
      </c>
      <c r="AA166" t="s">
        <v>1514</v>
      </c>
      <c r="AB166">
        <f t="shared" si="24"/>
        <v>343.22399999999999</v>
      </c>
      <c r="AC166">
        <f>Table2[[#This Row],[Price]]*Table2[[#This Row],[Quantity]]*Table2[[#This Row],[COUPON %]]/100</f>
        <v>73.805999999999997</v>
      </c>
      <c r="AD166">
        <f t="shared" si="25"/>
        <v>295.22399999999999</v>
      </c>
      <c r="AE166" s="1">
        <f t="shared" si="26"/>
        <v>369.03</v>
      </c>
    </row>
    <row r="167" spans="1:31" x14ac:dyDescent="0.25">
      <c r="A167" t="s">
        <v>1129</v>
      </c>
      <c r="B167" t="str">
        <f t="shared" si="18"/>
        <v xml:space="preserve">Amy Reid </v>
      </c>
      <c r="C167" t="s">
        <v>270</v>
      </c>
      <c r="D167" t="s">
        <v>1128</v>
      </c>
      <c r="E167">
        <v>44</v>
      </c>
      <c r="F167" t="str">
        <f t="shared" si="19"/>
        <v>36-45</v>
      </c>
      <c r="G167" t="s">
        <v>29</v>
      </c>
      <c r="H167" t="s">
        <v>118</v>
      </c>
      <c r="I167" t="s">
        <v>1127</v>
      </c>
      <c r="J167" t="str">
        <f t="shared" si="20"/>
        <v>rediffmail.com</v>
      </c>
      <c r="K167" t="s">
        <v>1126</v>
      </c>
      <c r="L167" t="s">
        <v>1513</v>
      </c>
      <c r="M167" s="2">
        <v>45513</v>
      </c>
      <c r="N167" t="s">
        <v>1512</v>
      </c>
      <c r="O167" t="s">
        <v>466</v>
      </c>
      <c r="P167">
        <v>104.18</v>
      </c>
      <c r="Q167">
        <v>2</v>
      </c>
      <c r="R167" t="s">
        <v>1</v>
      </c>
      <c r="S167" s="5">
        <v>0</v>
      </c>
      <c r="T167" s="3">
        <v>2</v>
      </c>
      <c r="U167" s="4" t="str">
        <f t="shared" si="21"/>
        <v>On_time</v>
      </c>
      <c r="V167">
        <v>57</v>
      </c>
      <c r="W167" s="3">
        <f t="shared" si="22"/>
        <v>2</v>
      </c>
      <c r="X167" s="2">
        <v>45515</v>
      </c>
      <c r="Y167" s="1">
        <f>YEAR(Table2[[#This Row],[Delivery_Date]])</f>
        <v>2024</v>
      </c>
      <c r="Z167" s="2" t="str">
        <f t="shared" si="23"/>
        <v>Aug</v>
      </c>
      <c r="AA167" t="s">
        <v>1511</v>
      </c>
      <c r="AB167">
        <f t="shared" si="24"/>
        <v>265.36</v>
      </c>
      <c r="AC167">
        <f>Table2[[#This Row],[Price]]*Table2[[#This Row],[Quantity]]*Table2[[#This Row],[COUPON %]]/100</f>
        <v>0</v>
      </c>
      <c r="AD167">
        <f t="shared" si="25"/>
        <v>208.36</v>
      </c>
      <c r="AE167" s="1">
        <f t="shared" si="26"/>
        <v>208.36</v>
      </c>
    </row>
    <row r="168" spans="1:31" x14ac:dyDescent="0.25">
      <c r="A168" t="s">
        <v>1238</v>
      </c>
      <c r="B168" t="str">
        <f t="shared" si="18"/>
        <v xml:space="preserve">John Ramirez </v>
      </c>
      <c r="C168" t="s">
        <v>1163</v>
      </c>
      <c r="D168" t="s">
        <v>1237</v>
      </c>
      <c r="E168">
        <v>28</v>
      </c>
      <c r="F168" t="str">
        <f t="shared" si="19"/>
        <v>26-35</v>
      </c>
      <c r="G168" t="s">
        <v>8</v>
      </c>
      <c r="H168" t="s">
        <v>59</v>
      </c>
      <c r="I168" t="s">
        <v>1236</v>
      </c>
      <c r="J168" t="str">
        <f t="shared" si="20"/>
        <v>outlook.com</v>
      </c>
      <c r="K168" t="s">
        <v>1235</v>
      </c>
      <c r="L168" t="s">
        <v>1510</v>
      </c>
      <c r="M168" s="2">
        <v>45550</v>
      </c>
      <c r="N168" t="s">
        <v>1509</v>
      </c>
      <c r="O168" t="s">
        <v>54</v>
      </c>
      <c r="P168">
        <v>220.27</v>
      </c>
      <c r="Q168">
        <v>2</v>
      </c>
      <c r="R168" t="s">
        <v>64</v>
      </c>
      <c r="S168" s="5">
        <v>20</v>
      </c>
      <c r="T168" s="3">
        <v>1</v>
      </c>
      <c r="U168" s="4" t="str">
        <f t="shared" si="21"/>
        <v>Late_Delivery</v>
      </c>
      <c r="V168">
        <v>42</v>
      </c>
      <c r="W168" s="3">
        <f t="shared" si="22"/>
        <v>2</v>
      </c>
      <c r="X168" s="2">
        <v>45552</v>
      </c>
      <c r="Y168" s="1">
        <f>YEAR(Table2[[#This Row],[Delivery_Date]])</f>
        <v>2024</v>
      </c>
      <c r="Z168" s="2" t="str">
        <f t="shared" si="23"/>
        <v>Sep</v>
      </c>
      <c r="AA168" t="s">
        <v>1508</v>
      </c>
      <c r="AB168">
        <f t="shared" si="24"/>
        <v>394.43200000000002</v>
      </c>
      <c r="AC168">
        <f>Table2[[#This Row],[Price]]*Table2[[#This Row],[Quantity]]*Table2[[#This Row],[COUPON %]]/100</f>
        <v>88.108000000000004</v>
      </c>
      <c r="AD168">
        <f t="shared" si="25"/>
        <v>352.43200000000002</v>
      </c>
      <c r="AE168" s="1">
        <f t="shared" si="26"/>
        <v>440.54</v>
      </c>
    </row>
    <row r="169" spans="1:31" x14ac:dyDescent="0.25">
      <c r="A169" t="s">
        <v>753</v>
      </c>
      <c r="B169" t="str">
        <f t="shared" si="18"/>
        <v xml:space="preserve">Brandon Cruz </v>
      </c>
      <c r="C169" t="s">
        <v>752</v>
      </c>
      <c r="D169" t="s">
        <v>751</v>
      </c>
      <c r="E169">
        <v>32</v>
      </c>
      <c r="F169" t="str">
        <f t="shared" si="19"/>
        <v>26-35</v>
      </c>
      <c r="G169" t="s">
        <v>8</v>
      </c>
      <c r="H169" t="s">
        <v>118</v>
      </c>
      <c r="I169" t="s">
        <v>750</v>
      </c>
      <c r="J169" t="str">
        <f t="shared" si="20"/>
        <v>gmail.com</v>
      </c>
      <c r="K169" t="s">
        <v>749</v>
      </c>
      <c r="L169" t="s">
        <v>1507</v>
      </c>
      <c r="M169" s="2">
        <v>45125</v>
      </c>
      <c r="N169" t="s">
        <v>1506</v>
      </c>
      <c r="O169" t="s">
        <v>299</v>
      </c>
      <c r="P169">
        <v>235.63</v>
      </c>
      <c r="Q169">
        <v>5</v>
      </c>
      <c r="R169" t="s">
        <v>34</v>
      </c>
      <c r="S169" s="5">
        <v>8</v>
      </c>
      <c r="T169" s="3">
        <v>4</v>
      </c>
      <c r="U169" s="4" t="str">
        <f t="shared" si="21"/>
        <v>On_time</v>
      </c>
      <c r="V169">
        <v>52</v>
      </c>
      <c r="W169" s="3">
        <f t="shared" si="22"/>
        <v>4</v>
      </c>
      <c r="X169" s="2">
        <v>45129</v>
      </c>
      <c r="Y169" s="1">
        <f>YEAR(Table2[[#This Row],[Delivery_Date]])</f>
        <v>2023</v>
      </c>
      <c r="Z169" s="2" t="str">
        <f t="shared" si="23"/>
        <v>Jul</v>
      </c>
      <c r="AA169" t="s">
        <v>1505</v>
      </c>
      <c r="AB169">
        <f t="shared" si="24"/>
        <v>1135.8980000000001</v>
      </c>
      <c r="AC169">
        <f>Table2[[#This Row],[Price]]*Table2[[#This Row],[Quantity]]*Table2[[#This Row],[COUPON %]]/100</f>
        <v>94.25200000000001</v>
      </c>
      <c r="AD169">
        <f t="shared" si="25"/>
        <v>1083.8980000000001</v>
      </c>
      <c r="AE169" s="1">
        <f t="shared" si="26"/>
        <v>1178.1500000000001</v>
      </c>
    </row>
    <row r="170" spans="1:31" x14ac:dyDescent="0.25">
      <c r="A170" t="s">
        <v>279</v>
      </c>
      <c r="B170" t="str">
        <f t="shared" si="18"/>
        <v xml:space="preserve">Amy Ellis </v>
      </c>
      <c r="C170" t="s">
        <v>270</v>
      </c>
      <c r="D170" t="s">
        <v>278</v>
      </c>
      <c r="E170">
        <v>44</v>
      </c>
      <c r="F170" t="str">
        <f t="shared" si="19"/>
        <v>36-45</v>
      </c>
      <c r="G170" t="s">
        <v>8</v>
      </c>
      <c r="H170" t="s">
        <v>118</v>
      </c>
      <c r="I170" t="s">
        <v>277</v>
      </c>
      <c r="J170" t="str">
        <f t="shared" si="20"/>
        <v>gmail.com</v>
      </c>
      <c r="K170" t="s">
        <v>276</v>
      </c>
      <c r="L170" t="s">
        <v>1504</v>
      </c>
      <c r="M170" s="2">
        <v>45186</v>
      </c>
      <c r="N170" t="s">
        <v>1503</v>
      </c>
      <c r="O170" t="s">
        <v>211</v>
      </c>
      <c r="P170">
        <v>166.28</v>
      </c>
      <c r="Q170">
        <v>4</v>
      </c>
      <c r="R170" t="s">
        <v>64</v>
      </c>
      <c r="S170" s="5">
        <v>20</v>
      </c>
      <c r="T170" s="3">
        <v>6</v>
      </c>
      <c r="U170" s="4" t="str">
        <f t="shared" si="21"/>
        <v>Late_Delivery</v>
      </c>
      <c r="V170">
        <v>36</v>
      </c>
      <c r="W170" s="3">
        <f t="shared" si="22"/>
        <v>7</v>
      </c>
      <c r="X170" s="2">
        <v>45193</v>
      </c>
      <c r="Y170" s="1">
        <f>YEAR(Table2[[#This Row],[Delivery_Date]])</f>
        <v>2023</v>
      </c>
      <c r="Z170" s="2" t="str">
        <f t="shared" si="23"/>
        <v>Sep</v>
      </c>
      <c r="AA170" t="s">
        <v>1502</v>
      </c>
      <c r="AB170">
        <f t="shared" si="24"/>
        <v>568.096</v>
      </c>
      <c r="AC170">
        <f>Table2[[#This Row],[Price]]*Table2[[#This Row],[Quantity]]*Table2[[#This Row],[COUPON %]]/100</f>
        <v>133.024</v>
      </c>
      <c r="AD170">
        <f t="shared" si="25"/>
        <v>532.096</v>
      </c>
      <c r="AE170" s="1">
        <f t="shared" si="26"/>
        <v>665.12</v>
      </c>
    </row>
    <row r="171" spans="1:31" x14ac:dyDescent="0.25">
      <c r="A171" t="s">
        <v>129</v>
      </c>
      <c r="B171" t="str">
        <f t="shared" si="18"/>
        <v xml:space="preserve">Joseph Stewart </v>
      </c>
      <c r="C171" t="s">
        <v>128</v>
      </c>
      <c r="D171" t="s">
        <v>89</v>
      </c>
      <c r="E171">
        <v>30</v>
      </c>
      <c r="F171" t="str">
        <f t="shared" si="19"/>
        <v>26-35</v>
      </c>
      <c r="G171" t="s">
        <v>29</v>
      </c>
      <c r="H171" t="s">
        <v>7</v>
      </c>
      <c r="I171" t="s">
        <v>127</v>
      </c>
      <c r="J171" t="str">
        <f t="shared" si="20"/>
        <v>yahoo.com</v>
      </c>
      <c r="K171" t="s">
        <v>126</v>
      </c>
      <c r="L171" t="s">
        <v>1501</v>
      </c>
      <c r="M171" s="2">
        <v>45120</v>
      </c>
      <c r="N171" t="s">
        <v>1500</v>
      </c>
      <c r="O171" t="s">
        <v>181</v>
      </c>
      <c r="P171">
        <v>405</v>
      </c>
      <c r="Q171">
        <v>5</v>
      </c>
      <c r="R171" t="s">
        <v>166</v>
      </c>
      <c r="S171" s="5">
        <v>10</v>
      </c>
      <c r="T171" s="3">
        <v>6</v>
      </c>
      <c r="U171" s="4" t="str">
        <f t="shared" si="21"/>
        <v>Late_Delivery</v>
      </c>
      <c r="V171">
        <v>36</v>
      </c>
      <c r="W171" s="3">
        <f t="shared" si="22"/>
        <v>7</v>
      </c>
      <c r="X171" s="2">
        <v>45127</v>
      </c>
      <c r="Y171" s="1">
        <f>YEAR(Table2[[#This Row],[Delivery_Date]])</f>
        <v>2023</v>
      </c>
      <c r="Z171" s="2" t="str">
        <f t="shared" si="23"/>
        <v>Jul</v>
      </c>
      <c r="AA171" t="s">
        <v>1499</v>
      </c>
      <c r="AB171">
        <f t="shared" si="24"/>
        <v>1858.5</v>
      </c>
      <c r="AC171">
        <f>Table2[[#This Row],[Price]]*Table2[[#This Row],[Quantity]]*Table2[[#This Row],[COUPON %]]/100</f>
        <v>202.5</v>
      </c>
      <c r="AD171">
        <f t="shared" si="25"/>
        <v>1822.5</v>
      </c>
      <c r="AE171" s="1">
        <f t="shared" si="26"/>
        <v>2025</v>
      </c>
    </row>
    <row r="172" spans="1:31" x14ac:dyDescent="0.25">
      <c r="A172" t="s">
        <v>297</v>
      </c>
      <c r="B172" t="str">
        <f t="shared" si="18"/>
        <v xml:space="preserve">Erin Miller </v>
      </c>
      <c r="C172" t="s">
        <v>296</v>
      </c>
      <c r="D172" t="s">
        <v>295</v>
      </c>
      <c r="E172">
        <v>46</v>
      </c>
      <c r="F172" t="str">
        <f t="shared" si="19"/>
        <v>&gt;45</v>
      </c>
      <c r="G172" t="s">
        <v>108</v>
      </c>
      <c r="H172" t="s">
        <v>79</v>
      </c>
      <c r="I172" t="s">
        <v>294</v>
      </c>
      <c r="J172" t="str">
        <f t="shared" si="20"/>
        <v>gmail.com</v>
      </c>
      <c r="K172" t="s">
        <v>293</v>
      </c>
      <c r="L172" t="s">
        <v>1498</v>
      </c>
      <c r="M172" s="2">
        <v>45591</v>
      </c>
      <c r="N172" t="s">
        <v>1497</v>
      </c>
      <c r="O172" t="s">
        <v>343</v>
      </c>
      <c r="P172">
        <v>257.06</v>
      </c>
      <c r="Q172">
        <v>2</v>
      </c>
      <c r="R172" t="s">
        <v>93</v>
      </c>
      <c r="S172" s="5">
        <v>15</v>
      </c>
      <c r="T172" s="3">
        <v>7</v>
      </c>
      <c r="U172" s="4" t="str">
        <f t="shared" si="21"/>
        <v>Before_time</v>
      </c>
      <c r="V172">
        <v>59</v>
      </c>
      <c r="W172" s="3">
        <f t="shared" si="22"/>
        <v>1</v>
      </c>
      <c r="X172" s="2">
        <v>45592</v>
      </c>
      <c r="Y172" s="1">
        <f>YEAR(Table2[[#This Row],[Delivery_Date]])</f>
        <v>2024</v>
      </c>
      <c r="Z172" s="2" t="str">
        <f t="shared" si="23"/>
        <v>Oct</v>
      </c>
      <c r="AA172" t="s">
        <v>1496</v>
      </c>
      <c r="AB172">
        <f t="shared" si="24"/>
        <v>496.00200000000001</v>
      </c>
      <c r="AC172">
        <f>Table2[[#This Row],[Price]]*Table2[[#This Row],[Quantity]]*Table2[[#This Row],[COUPON %]]/100</f>
        <v>77.117999999999995</v>
      </c>
      <c r="AD172">
        <f t="shared" si="25"/>
        <v>437.00200000000001</v>
      </c>
      <c r="AE172" s="1">
        <f t="shared" si="26"/>
        <v>514.12</v>
      </c>
    </row>
    <row r="173" spans="1:31" x14ac:dyDescent="0.25">
      <c r="A173" t="s">
        <v>727</v>
      </c>
      <c r="B173" t="str">
        <f t="shared" si="18"/>
        <v xml:space="preserve">Rachael Robinson </v>
      </c>
      <c r="C173" t="s">
        <v>726</v>
      </c>
      <c r="D173" t="s">
        <v>725</v>
      </c>
      <c r="E173">
        <v>24</v>
      </c>
      <c r="F173" t="str">
        <f t="shared" si="19"/>
        <v>0-25</v>
      </c>
      <c r="G173" t="s">
        <v>8</v>
      </c>
      <c r="H173" t="s">
        <v>18</v>
      </c>
      <c r="I173" t="s">
        <v>724</v>
      </c>
      <c r="J173" t="str">
        <f t="shared" si="20"/>
        <v>rediffmail.com</v>
      </c>
      <c r="K173" t="s">
        <v>723</v>
      </c>
      <c r="L173" t="s">
        <v>1495</v>
      </c>
      <c r="M173" s="2">
        <v>45525</v>
      </c>
      <c r="N173" t="s">
        <v>1494</v>
      </c>
      <c r="O173" t="s">
        <v>2</v>
      </c>
      <c r="P173">
        <v>44.5</v>
      </c>
      <c r="Q173">
        <v>4</v>
      </c>
      <c r="R173" t="s">
        <v>34</v>
      </c>
      <c r="S173" s="5">
        <v>8</v>
      </c>
      <c r="T173" s="3">
        <v>5</v>
      </c>
      <c r="U173" s="4" t="str">
        <f t="shared" si="21"/>
        <v>Late_Delivery</v>
      </c>
      <c r="V173">
        <v>40</v>
      </c>
      <c r="W173" s="3">
        <f t="shared" si="22"/>
        <v>6</v>
      </c>
      <c r="X173" s="2">
        <v>45531</v>
      </c>
      <c r="Y173" s="1">
        <f>YEAR(Table2[[#This Row],[Delivery_Date]])</f>
        <v>2024</v>
      </c>
      <c r="Z173" s="2" t="str">
        <f t="shared" si="23"/>
        <v>Aug</v>
      </c>
      <c r="AA173" t="s">
        <v>1493</v>
      </c>
      <c r="AB173">
        <f t="shared" si="24"/>
        <v>203.76000000000002</v>
      </c>
      <c r="AC173">
        <f>Table2[[#This Row],[Price]]*Table2[[#This Row],[Quantity]]*Table2[[#This Row],[COUPON %]]/100</f>
        <v>14.24</v>
      </c>
      <c r="AD173">
        <f t="shared" si="25"/>
        <v>163.76000000000002</v>
      </c>
      <c r="AE173" s="1">
        <f t="shared" si="26"/>
        <v>178</v>
      </c>
    </row>
    <row r="174" spans="1:31" x14ac:dyDescent="0.25">
      <c r="A174" t="s">
        <v>279</v>
      </c>
      <c r="B174" t="str">
        <f t="shared" si="18"/>
        <v xml:space="preserve">Amy Ellis </v>
      </c>
      <c r="C174" t="s">
        <v>270</v>
      </c>
      <c r="D174" t="s">
        <v>278</v>
      </c>
      <c r="E174">
        <v>44</v>
      </c>
      <c r="F174" t="str">
        <f t="shared" si="19"/>
        <v>36-45</v>
      </c>
      <c r="G174" t="s">
        <v>8</v>
      </c>
      <c r="H174" t="s">
        <v>118</v>
      </c>
      <c r="I174" t="s">
        <v>277</v>
      </c>
      <c r="J174" t="str">
        <f t="shared" si="20"/>
        <v>gmail.com</v>
      </c>
      <c r="K174" t="s">
        <v>276</v>
      </c>
      <c r="L174" t="s">
        <v>1492</v>
      </c>
      <c r="M174" s="2">
        <v>45561</v>
      </c>
      <c r="N174" t="s">
        <v>1491</v>
      </c>
      <c r="O174" t="s">
        <v>2</v>
      </c>
      <c r="P174">
        <v>44.5</v>
      </c>
      <c r="Q174">
        <v>2</v>
      </c>
      <c r="R174" t="s">
        <v>93</v>
      </c>
      <c r="S174" s="5">
        <v>15</v>
      </c>
      <c r="T174" s="3">
        <v>5</v>
      </c>
      <c r="U174" s="4" t="str">
        <f t="shared" si="21"/>
        <v>Before_time</v>
      </c>
      <c r="V174">
        <v>52</v>
      </c>
      <c r="W174" s="3">
        <f t="shared" si="22"/>
        <v>2</v>
      </c>
      <c r="X174" s="2">
        <v>45563</v>
      </c>
      <c r="Y174" s="1">
        <f>YEAR(Table2[[#This Row],[Delivery_Date]])</f>
        <v>2024</v>
      </c>
      <c r="Z174" s="2" t="str">
        <f t="shared" si="23"/>
        <v>Sep</v>
      </c>
      <c r="AA174" t="s">
        <v>1490</v>
      </c>
      <c r="AB174">
        <f t="shared" si="24"/>
        <v>127.64999999999999</v>
      </c>
      <c r="AC174">
        <f>Table2[[#This Row],[Price]]*Table2[[#This Row],[Quantity]]*Table2[[#This Row],[COUPON %]]/100</f>
        <v>13.35</v>
      </c>
      <c r="AD174">
        <f t="shared" si="25"/>
        <v>75.649999999999991</v>
      </c>
      <c r="AE174" s="1">
        <f t="shared" si="26"/>
        <v>89</v>
      </c>
    </row>
    <row r="175" spans="1:31" x14ac:dyDescent="0.25">
      <c r="A175" t="s">
        <v>1489</v>
      </c>
      <c r="B175" t="str">
        <f t="shared" si="18"/>
        <v xml:space="preserve">Joseph Gaines </v>
      </c>
      <c r="C175" t="s">
        <v>128</v>
      </c>
      <c r="D175" t="s">
        <v>1488</v>
      </c>
      <c r="E175">
        <v>47</v>
      </c>
      <c r="F175" t="str">
        <f t="shared" si="19"/>
        <v>&gt;45</v>
      </c>
      <c r="G175" t="s">
        <v>8</v>
      </c>
      <c r="H175" t="s">
        <v>28</v>
      </c>
      <c r="I175" t="s">
        <v>1487</v>
      </c>
      <c r="J175" t="str">
        <f t="shared" si="20"/>
        <v>outlook.com</v>
      </c>
      <c r="K175" t="s">
        <v>1486</v>
      </c>
      <c r="L175" t="s">
        <v>1485</v>
      </c>
      <c r="M175" s="2">
        <v>45051</v>
      </c>
      <c r="N175" t="s">
        <v>1484</v>
      </c>
      <c r="O175" t="s">
        <v>74</v>
      </c>
      <c r="P175">
        <v>129.75</v>
      </c>
      <c r="Q175">
        <v>5</v>
      </c>
      <c r="R175" t="s">
        <v>1</v>
      </c>
      <c r="S175" s="5">
        <v>0</v>
      </c>
      <c r="T175" s="3">
        <v>3</v>
      </c>
      <c r="U175" s="4" t="str">
        <f t="shared" si="21"/>
        <v>Late_Delivery</v>
      </c>
      <c r="V175">
        <v>43</v>
      </c>
      <c r="W175" s="3">
        <f t="shared" si="22"/>
        <v>6</v>
      </c>
      <c r="X175" s="2">
        <v>45057</v>
      </c>
      <c r="Y175" s="1">
        <f>YEAR(Table2[[#This Row],[Delivery_Date]])</f>
        <v>2023</v>
      </c>
      <c r="Z175" s="2" t="str">
        <f t="shared" si="23"/>
        <v>May</v>
      </c>
      <c r="AA175" t="s">
        <v>1483</v>
      </c>
      <c r="AB175">
        <f t="shared" si="24"/>
        <v>691.75</v>
      </c>
      <c r="AC175">
        <f>Table2[[#This Row],[Price]]*Table2[[#This Row],[Quantity]]*Table2[[#This Row],[COUPON %]]/100</f>
        <v>0</v>
      </c>
      <c r="AD175">
        <f t="shared" si="25"/>
        <v>648.75</v>
      </c>
      <c r="AE175" s="1">
        <f t="shared" si="26"/>
        <v>648.75</v>
      </c>
    </row>
    <row r="176" spans="1:31" x14ac:dyDescent="0.25">
      <c r="A176" t="s">
        <v>651</v>
      </c>
      <c r="B176" t="str">
        <f t="shared" si="18"/>
        <v xml:space="preserve">Christy Chang </v>
      </c>
      <c r="C176" t="s">
        <v>650</v>
      </c>
      <c r="D176" t="s">
        <v>649</v>
      </c>
      <c r="E176">
        <v>38</v>
      </c>
      <c r="F176" t="str">
        <f t="shared" si="19"/>
        <v>36-45</v>
      </c>
      <c r="G176" t="s">
        <v>29</v>
      </c>
      <c r="H176" t="s">
        <v>18</v>
      </c>
      <c r="I176" t="s">
        <v>648</v>
      </c>
      <c r="J176" t="str">
        <f t="shared" si="20"/>
        <v>outlook.com</v>
      </c>
      <c r="K176" t="s">
        <v>647</v>
      </c>
      <c r="L176" t="s">
        <v>1482</v>
      </c>
      <c r="M176" s="2">
        <v>45318</v>
      </c>
      <c r="N176" t="s">
        <v>1481</v>
      </c>
      <c r="O176" t="s">
        <v>84</v>
      </c>
      <c r="P176">
        <v>62.42</v>
      </c>
      <c r="Q176">
        <v>4</v>
      </c>
      <c r="R176" t="s">
        <v>64</v>
      </c>
      <c r="S176" s="5">
        <v>20</v>
      </c>
      <c r="T176" s="3">
        <v>4</v>
      </c>
      <c r="U176" s="4" t="str">
        <f t="shared" si="21"/>
        <v>Before_time</v>
      </c>
      <c r="V176">
        <v>37</v>
      </c>
      <c r="W176" s="3">
        <f t="shared" si="22"/>
        <v>3</v>
      </c>
      <c r="X176" s="2">
        <v>45321</v>
      </c>
      <c r="Y176" s="1">
        <f>YEAR(Table2[[#This Row],[Delivery_Date]])</f>
        <v>2024</v>
      </c>
      <c r="Z176" s="2" t="str">
        <f t="shared" si="23"/>
        <v>Jan</v>
      </c>
      <c r="AA176" t="s">
        <v>1480</v>
      </c>
      <c r="AB176">
        <f t="shared" si="24"/>
        <v>236.74400000000003</v>
      </c>
      <c r="AC176">
        <f>Table2[[#This Row],[Price]]*Table2[[#This Row],[Quantity]]*Table2[[#This Row],[COUPON %]]/100</f>
        <v>49.936000000000007</v>
      </c>
      <c r="AD176">
        <f t="shared" si="25"/>
        <v>199.74400000000003</v>
      </c>
      <c r="AE176" s="1">
        <f t="shared" si="26"/>
        <v>249.68</v>
      </c>
    </row>
    <row r="177" spans="1:31" x14ac:dyDescent="0.25">
      <c r="A177" t="s">
        <v>414</v>
      </c>
      <c r="B177" t="str">
        <f t="shared" si="18"/>
        <v xml:space="preserve">Lisa Miller </v>
      </c>
      <c r="C177" t="s">
        <v>413</v>
      </c>
      <c r="D177" t="s">
        <v>295</v>
      </c>
      <c r="E177">
        <v>70</v>
      </c>
      <c r="F177" t="str">
        <f t="shared" si="19"/>
        <v>&gt;45</v>
      </c>
      <c r="G177" t="s">
        <v>29</v>
      </c>
      <c r="H177" t="s">
        <v>118</v>
      </c>
      <c r="I177" t="s">
        <v>412</v>
      </c>
      <c r="J177" t="str">
        <f t="shared" si="20"/>
        <v>gmail.com</v>
      </c>
      <c r="K177" t="s">
        <v>411</v>
      </c>
      <c r="L177" t="s">
        <v>1479</v>
      </c>
      <c r="M177" s="2">
        <v>45508</v>
      </c>
      <c r="N177" t="s">
        <v>1478</v>
      </c>
      <c r="O177" t="s">
        <v>667</v>
      </c>
      <c r="P177">
        <v>421.7</v>
      </c>
      <c r="Q177">
        <v>4</v>
      </c>
      <c r="R177" t="s">
        <v>34</v>
      </c>
      <c r="S177" s="5">
        <v>8</v>
      </c>
      <c r="T177" s="3">
        <v>7</v>
      </c>
      <c r="U177" s="4" t="str">
        <f t="shared" si="21"/>
        <v>Before_time</v>
      </c>
      <c r="V177">
        <v>69</v>
      </c>
      <c r="W177" s="3">
        <f t="shared" si="22"/>
        <v>6</v>
      </c>
      <c r="X177" s="2">
        <v>45514</v>
      </c>
      <c r="Y177" s="1">
        <f>YEAR(Table2[[#This Row],[Delivery_Date]])</f>
        <v>2024</v>
      </c>
      <c r="Z177" s="2" t="str">
        <f t="shared" si="23"/>
        <v>Aug</v>
      </c>
      <c r="AA177" t="s">
        <v>1477</v>
      </c>
      <c r="AB177">
        <f t="shared" si="24"/>
        <v>1620.856</v>
      </c>
      <c r="AC177">
        <f>Table2[[#This Row],[Price]]*Table2[[#This Row],[Quantity]]*Table2[[#This Row],[COUPON %]]/100</f>
        <v>134.94399999999999</v>
      </c>
      <c r="AD177">
        <f t="shared" si="25"/>
        <v>1551.856</v>
      </c>
      <c r="AE177" s="1">
        <f t="shared" si="26"/>
        <v>1686.8</v>
      </c>
    </row>
    <row r="178" spans="1:31" x14ac:dyDescent="0.25">
      <c r="A178" t="s">
        <v>62</v>
      </c>
      <c r="B178" t="str">
        <f t="shared" si="18"/>
        <v xml:space="preserve">Kara Brennan </v>
      </c>
      <c r="C178" t="s">
        <v>61</v>
      </c>
      <c r="D178" t="s">
        <v>60</v>
      </c>
      <c r="E178">
        <v>25</v>
      </c>
      <c r="F178" t="str">
        <f t="shared" si="19"/>
        <v>0-25</v>
      </c>
      <c r="G178" t="s">
        <v>8</v>
      </c>
      <c r="H178" t="s">
        <v>59</v>
      </c>
      <c r="I178" t="s">
        <v>58</v>
      </c>
      <c r="J178" t="str">
        <f t="shared" si="20"/>
        <v>outlook.com</v>
      </c>
      <c r="K178" t="s">
        <v>57</v>
      </c>
      <c r="L178" t="s">
        <v>1476</v>
      </c>
      <c r="M178" s="2">
        <v>45580</v>
      </c>
      <c r="N178" t="s">
        <v>1475</v>
      </c>
      <c r="O178" t="s">
        <v>94</v>
      </c>
      <c r="P178">
        <v>33.49</v>
      </c>
      <c r="Q178">
        <v>1</v>
      </c>
      <c r="R178" t="s">
        <v>1</v>
      </c>
      <c r="S178" s="5">
        <v>0</v>
      </c>
      <c r="T178" s="3">
        <v>1</v>
      </c>
      <c r="U178" s="4" t="str">
        <f t="shared" si="21"/>
        <v>Late_Delivery</v>
      </c>
      <c r="V178">
        <v>59</v>
      </c>
      <c r="W178" s="3">
        <f t="shared" si="22"/>
        <v>5</v>
      </c>
      <c r="X178" s="2">
        <v>45585</v>
      </c>
      <c r="Y178" s="1">
        <f>YEAR(Table2[[#This Row],[Delivery_Date]])</f>
        <v>2024</v>
      </c>
      <c r="Z178" s="2" t="str">
        <f t="shared" si="23"/>
        <v>Oct</v>
      </c>
      <c r="AA178" t="s">
        <v>1474</v>
      </c>
      <c r="AB178">
        <f t="shared" si="24"/>
        <v>92.490000000000009</v>
      </c>
      <c r="AC178">
        <f>Table2[[#This Row],[Price]]*Table2[[#This Row],[Quantity]]*Table2[[#This Row],[COUPON %]]/100</f>
        <v>0</v>
      </c>
      <c r="AD178">
        <f t="shared" si="25"/>
        <v>33.49</v>
      </c>
      <c r="AE178" s="1">
        <f t="shared" si="26"/>
        <v>33.49</v>
      </c>
    </row>
    <row r="179" spans="1:31" x14ac:dyDescent="0.25">
      <c r="A179" t="s">
        <v>924</v>
      </c>
      <c r="B179" t="str">
        <f t="shared" si="18"/>
        <v xml:space="preserve">Natasha Michael </v>
      </c>
      <c r="C179" t="s">
        <v>923</v>
      </c>
      <c r="D179" t="s">
        <v>922</v>
      </c>
      <c r="E179">
        <v>49</v>
      </c>
      <c r="F179" t="str">
        <f t="shared" si="19"/>
        <v>&gt;45</v>
      </c>
      <c r="G179" t="s">
        <v>108</v>
      </c>
      <c r="H179" t="s">
        <v>7</v>
      </c>
      <c r="I179" t="s">
        <v>921</v>
      </c>
      <c r="J179" t="str">
        <f t="shared" si="20"/>
        <v>gmail.com</v>
      </c>
      <c r="K179" t="s">
        <v>920</v>
      </c>
      <c r="L179" t="s">
        <v>1473</v>
      </c>
      <c r="M179" s="2">
        <v>45478</v>
      </c>
      <c r="N179" t="s">
        <v>1472</v>
      </c>
      <c r="O179" t="s">
        <v>23</v>
      </c>
      <c r="P179">
        <v>272.51</v>
      </c>
      <c r="Q179">
        <v>4</v>
      </c>
      <c r="R179" t="s">
        <v>1</v>
      </c>
      <c r="S179" s="5">
        <v>0</v>
      </c>
      <c r="T179" s="3">
        <v>1</v>
      </c>
      <c r="U179" s="4" t="str">
        <f t="shared" si="21"/>
        <v>Late_Delivery</v>
      </c>
      <c r="V179">
        <v>51</v>
      </c>
      <c r="W179" s="3">
        <f t="shared" si="22"/>
        <v>2</v>
      </c>
      <c r="X179" s="2">
        <v>45480</v>
      </c>
      <c r="Y179" s="1">
        <f>YEAR(Table2[[#This Row],[Delivery_Date]])</f>
        <v>2024</v>
      </c>
      <c r="Z179" s="2" t="str">
        <f t="shared" si="23"/>
        <v>Jul</v>
      </c>
      <c r="AA179" t="s">
        <v>1471</v>
      </c>
      <c r="AB179">
        <f t="shared" si="24"/>
        <v>1141.04</v>
      </c>
      <c r="AC179">
        <f>Table2[[#This Row],[Price]]*Table2[[#This Row],[Quantity]]*Table2[[#This Row],[COUPON %]]/100</f>
        <v>0</v>
      </c>
      <c r="AD179">
        <f t="shared" si="25"/>
        <v>1090.04</v>
      </c>
      <c r="AE179" s="1">
        <f t="shared" si="26"/>
        <v>1090.04</v>
      </c>
    </row>
    <row r="180" spans="1:31" x14ac:dyDescent="0.25">
      <c r="A180" t="s">
        <v>1368</v>
      </c>
      <c r="B180" t="str">
        <f t="shared" si="18"/>
        <v xml:space="preserve">Jason Nguyen </v>
      </c>
      <c r="C180" t="s">
        <v>629</v>
      </c>
      <c r="D180" t="s">
        <v>1367</v>
      </c>
      <c r="E180">
        <v>51</v>
      </c>
      <c r="F180" t="str">
        <f t="shared" si="19"/>
        <v>&gt;45</v>
      </c>
      <c r="G180" t="s">
        <v>8</v>
      </c>
      <c r="H180" t="s">
        <v>59</v>
      </c>
      <c r="I180" t="s">
        <v>1366</v>
      </c>
      <c r="J180" t="str">
        <f t="shared" si="20"/>
        <v>yahoo.com</v>
      </c>
      <c r="K180" t="s">
        <v>1365</v>
      </c>
      <c r="L180" t="s">
        <v>1470</v>
      </c>
      <c r="M180" s="2">
        <v>45010</v>
      </c>
      <c r="N180" t="s">
        <v>1469</v>
      </c>
      <c r="O180" t="s">
        <v>470</v>
      </c>
      <c r="P180">
        <v>133.62</v>
      </c>
      <c r="Q180">
        <v>2</v>
      </c>
      <c r="R180" t="s">
        <v>34</v>
      </c>
      <c r="S180" s="5">
        <v>8</v>
      </c>
      <c r="T180" s="3">
        <v>1</v>
      </c>
      <c r="U180" s="4" t="str">
        <f t="shared" si="21"/>
        <v>Late_Delivery</v>
      </c>
      <c r="V180">
        <v>48</v>
      </c>
      <c r="W180" s="3">
        <f t="shared" si="22"/>
        <v>5</v>
      </c>
      <c r="X180" s="2">
        <v>45015</v>
      </c>
      <c r="Y180" s="1">
        <f>YEAR(Table2[[#This Row],[Delivery_Date]])</f>
        <v>2023</v>
      </c>
      <c r="Z180" s="2" t="str">
        <f t="shared" si="23"/>
        <v>Mar</v>
      </c>
      <c r="AA180" t="s">
        <v>1468</v>
      </c>
      <c r="AB180">
        <f t="shared" si="24"/>
        <v>293.86080000000004</v>
      </c>
      <c r="AC180">
        <f>Table2[[#This Row],[Price]]*Table2[[#This Row],[Quantity]]*Table2[[#This Row],[COUPON %]]/100</f>
        <v>21.379200000000001</v>
      </c>
      <c r="AD180">
        <f t="shared" si="25"/>
        <v>245.86080000000001</v>
      </c>
      <c r="AE180" s="1">
        <f t="shared" si="26"/>
        <v>267.24</v>
      </c>
    </row>
    <row r="181" spans="1:31" x14ac:dyDescent="0.25">
      <c r="A181" t="s">
        <v>884</v>
      </c>
      <c r="B181" t="str">
        <f t="shared" si="18"/>
        <v xml:space="preserve">Kristina Haynes </v>
      </c>
      <c r="C181" t="s">
        <v>883</v>
      </c>
      <c r="D181" t="s">
        <v>882</v>
      </c>
      <c r="E181">
        <v>27</v>
      </c>
      <c r="F181" t="str">
        <f t="shared" si="19"/>
        <v>26-35</v>
      </c>
      <c r="G181" t="s">
        <v>108</v>
      </c>
      <c r="H181" t="s">
        <v>7</v>
      </c>
      <c r="I181" t="s">
        <v>881</v>
      </c>
      <c r="J181" t="str">
        <f t="shared" si="20"/>
        <v>yahoo.com</v>
      </c>
      <c r="K181" t="s">
        <v>880</v>
      </c>
      <c r="L181" t="s">
        <v>1467</v>
      </c>
      <c r="M181" s="2">
        <v>45132</v>
      </c>
      <c r="N181" t="s">
        <v>1466</v>
      </c>
      <c r="O181" t="s">
        <v>343</v>
      </c>
      <c r="P181">
        <v>257.06</v>
      </c>
      <c r="Q181">
        <v>4</v>
      </c>
      <c r="R181" t="s">
        <v>1</v>
      </c>
      <c r="S181" s="5">
        <v>0</v>
      </c>
      <c r="T181" s="3">
        <v>5</v>
      </c>
      <c r="U181" s="4" t="str">
        <f t="shared" si="21"/>
        <v>Before_time</v>
      </c>
      <c r="V181">
        <v>52</v>
      </c>
      <c r="W181" s="3">
        <f t="shared" si="22"/>
        <v>4</v>
      </c>
      <c r="X181" s="2">
        <v>45136</v>
      </c>
      <c r="Y181" s="1">
        <f>YEAR(Table2[[#This Row],[Delivery_Date]])</f>
        <v>2023</v>
      </c>
      <c r="Z181" s="2" t="str">
        <f t="shared" si="23"/>
        <v>Jul</v>
      </c>
      <c r="AA181" t="s">
        <v>1465</v>
      </c>
      <c r="AB181">
        <f t="shared" si="24"/>
        <v>1080.24</v>
      </c>
      <c r="AC181">
        <f>Table2[[#This Row],[Price]]*Table2[[#This Row],[Quantity]]*Table2[[#This Row],[COUPON %]]/100</f>
        <v>0</v>
      </c>
      <c r="AD181">
        <f t="shared" si="25"/>
        <v>1028.24</v>
      </c>
      <c r="AE181" s="1">
        <f t="shared" si="26"/>
        <v>1028.24</v>
      </c>
    </row>
    <row r="182" spans="1:31" x14ac:dyDescent="0.25">
      <c r="A182" t="s">
        <v>62</v>
      </c>
      <c r="B182" t="str">
        <f t="shared" si="18"/>
        <v xml:space="preserve">Kara Brennan </v>
      </c>
      <c r="C182" t="s">
        <v>61</v>
      </c>
      <c r="D182" t="s">
        <v>60</v>
      </c>
      <c r="E182">
        <v>25</v>
      </c>
      <c r="F182" t="str">
        <f t="shared" si="19"/>
        <v>0-25</v>
      </c>
      <c r="G182" t="s">
        <v>8</v>
      </c>
      <c r="H182" t="s">
        <v>59</v>
      </c>
      <c r="I182" t="s">
        <v>58</v>
      </c>
      <c r="J182" t="str">
        <f t="shared" si="20"/>
        <v>outlook.com</v>
      </c>
      <c r="K182" t="s">
        <v>57</v>
      </c>
      <c r="L182" t="s">
        <v>1464</v>
      </c>
      <c r="M182" s="2">
        <v>45457</v>
      </c>
      <c r="N182" t="s">
        <v>1463</v>
      </c>
      <c r="O182" t="s">
        <v>531</v>
      </c>
      <c r="P182">
        <v>20</v>
      </c>
      <c r="Q182">
        <v>5</v>
      </c>
      <c r="R182" t="s">
        <v>93</v>
      </c>
      <c r="S182" s="5">
        <v>15</v>
      </c>
      <c r="T182" s="3">
        <v>6</v>
      </c>
      <c r="U182" s="4" t="str">
        <f t="shared" si="21"/>
        <v>On_time</v>
      </c>
      <c r="V182">
        <v>36</v>
      </c>
      <c r="W182" s="3">
        <f t="shared" si="22"/>
        <v>6</v>
      </c>
      <c r="X182" s="2">
        <v>45463</v>
      </c>
      <c r="Y182" s="1">
        <f>YEAR(Table2[[#This Row],[Delivery_Date]])</f>
        <v>2024</v>
      </c>
      <c r="Z182" s="2" t="str">
        <f t="shared" si="23"/>
        <v>Jun</v>
      </c>
      <c r="AA182" t="s">
        <v>1462</v>
      </c>
      <c r="AB182">
        <f t="shared" si="24"/>
        <v>121</v>
      </c>
      <c r="AC182">
        <f>Table2[[#This Row],[Price]]*Table2[[#This Row],[Quantity]]*Table2[[#This Row],[COUPON %]]/100</f>
        <v>15</v>
      </c>
      <c r="AD182">
        <f t="shared" si="25"/>
        <v>85</v>
      </c>
      <c r="AE182" s="1">
        <f t="shared" si="26"/>
        <v>100</v>
      </c>
    </row>
    <row r="183" spans="1:31" x14ac:dyDescent="0.25">
      <c r="A183" t="s">
        <v>665</v>
      </c>
      <c r="B183" t="str">
        <f t="shared" si="18"/>
        <v xml:space="preserve">Bruce Allen </v>
      </c>
      <c r="C183" t="s">
        <v>664</v>
      </c>
      <c r="D183" t="s">
        <v>663</v>
      </c>
      <c r="E183">
        <v>32</v>
      </c>
      <c r="F183" t="str">
        <f t="shared" si="19"/>
        <v>26-35</v>
      </c>
      <c r="G183" t="s">
        <v>29</v>
      </c>
      <c r="H183" t="s">
        <v>107</v>
      </c>
      <c r="I183" t="s">
        <v>662</v>
      </c>
      <c r="J183" t="str">
        <f t="shared" si="20"/>
        <v>rediffmail.com</v>
      </c>
      <c r="K183" t="s">
        <v>661</v>
      </c>
      <c r="L183" t="s">
        <v>1461</v>
      </c>
      <c r="M183" s="2">
        <v>45343</v>
      </c>
      <c r="N183" t="s">
        <v>1460</v>
      </c>
      <c r="O183" t="s">
        <v>299</v>
      </c>
      <c r="P183">
        <v>235.63</v>
      </c>
      <c r="Q183">
        <v>3</v>
      </c>
      <c r="R183" t="s">
        <v>166</v>
      </c>
      <c r="S183" s="5">
        <v>10</v>
      </c>
      <c r="T183" s="3">
        <v>5</v>
      </c>
      <c r="U183" s="4" t="str">
        <f t="shared" si="21"/>
        <v>Before_time</v>
      </c>
      <c r="V183">
        <v>44</v>
      </c>
      <c r="W183" s="3">
        <f t="shared" si="22"/>
        <v>4</v>
      </c>
      <c r="X183" s="2">
        <v>45347</v>
      </c>
      <c r="Y183" s="1">
        <f>YEAR(Table2[[#This Row],[Delivery_Date]])</f>
        <v>2024</v>
      </c>
      <c r="Z183" s="2" t="str">
        <f t="shared" si="23"/>
        <v>Feb</v>
      </c>
      <c r="AA183" t="s">
        <v>1459</v>
      </c>
      <c r="AB183">
        <f t="shared" si="24"/>
        <v>680.20100000000002</v>
      </c>
      <c r="AC183">
        <f>Table2[[#This Row],[Price]]*Table2[[#This Row],[Quantity]]*Table2[[#This Row],[COUPON %]]/100</f>
        <v>70.688999999999993</v>
      </c>
      <c r="AD183">
        <f t="shared" si="25"/>
        <v>636.20100000000002</v>
      </c>
      <c r="AE183" s="1">
        <f t="shared" si="26"/>
        <v>706.89</v>
      </c>
    </row>
    <row r="184" spans="1:31" x14ac:dyDescent="0.25">
      <c r="A184" t="s">
        <v>1311</v>
      </c>
      <c r="B184" t="str">
        <f t="shared" si="18"/>
        <v xml:space="preserve">Anne Oconnell </v>
      </c>
      <c r="C184" t="s">
        <v>1310</v>
      </c>
      <c r="D184" t="s">
        <v>1309</v>
      </c>
      <c r="E184">
        <v>37</v>
      </c>
      <c r="F184" t="str">
        <f t="shared" si="19"/>
        <v>36-45</v>
      </c>
      <c r="G184" t="s">
        <v>108</v>
      </c>
      <c r="H184" t="s">
        <v>107</v>
      </c>
      <c r="I184" t="s">
        <v>1308</v>
      </c>
      <c r="J184" t="str">
        <f t="shared" si="20"/>
        <v>outlook.com</v>
      </c>
      <c r="K184" t="s">
        <v>1307</v>
      </c>
      <c r="L184" t="s">
        <v>1458</v>
      </c>
      <c r="M184" s="2">
        <v>45095</v>
      </c>
      <c r="N184" t="s">
        <v>559</v>
      </c>
      <c r="O184" t="s">
        <v>470</v>
      </c>
      <c r="P184">
        <v>133.62</v>
      </c>
      <c r="Q184">
        <v>5</v>
      </c>
      <c r="R184" t="s">
        <v>1</v>
      </c>
      <c r="S184" s="5">
        <v>0</v>
      </c>
      <c r="T184" s="3">
        <v>7</v>
      </c>
      <c r="U184" s="4" t="str">
        <f t="shared" si="21"/>
        <v>Before_time</v>
      </c>
      <c r="V184">
        <v>58</v>
      </c>
      <c r="W184" s="3">
        <f t="shared" si="22"/>
        <v>3</v>
      </c>
      <c r="X184" s="2">
        <v>45098</v>
      </c>
      <c r="Y184" s="1">
        <f>YEAR(Table2[[#This Row],[Delivery_Date]])</f>
        <v>2023</v>
      </c>
      <c r="Z184" s="2" t="str">
        <f t="shared" si="23"/>
        <v>Jun</v>
      </c>
      <c r="AA184" t="s">
        <v>1457</v>
      </c>
      <c r="AB184">
        <f t="shared" si="24"/>
        <v>726.1</v>
      </c>
      <c r="AC184">
        <f>Table2[[#This Row],[Price]]*Table2[[#This Row],[Quantity]]*Table2[[#This Row],[COUPON %]]/100</f>
        <v>0</v>
      </c>
      <c r="AD184">
        <f t="shared" si="25"/>
        <v>668.1</v>
      </c>
      <c r="AE184" s="1">
        <f t="shared" si="26"/>
        <v>668.1</v>
      </c>
    </row>
    <row r="185" spans="1:31" x14ac:dyDescent="0.25">
      <c r="A185" t="s">
        <v>1092</v>
      </c>
      <c r="B185" t="str">
        <f t="shared" si="18"/>
        <v xml:space="preserve">Mitchell Parker </v>
      </c>
      <c r="C185" t="s">
        <v>162</v>
      </c>
      <c r="D185" t="s">
        <v>145</v>
      </c>
      <c r="E185">
        <v>39</v>
      </c>
      <c r="F185" t="str">
        <f t="shared" si="19"/>
        <v>36-45</v>
      </c>
      <c r="G185" t="s">
        <v>8</v>
      </c>
      <c r="H185" t="s">
        <v>7</v>
      </c>
      <c r="I185" t="s">
        <v>1091</v>
      </c>
      <c r="J185" t="str">
        <f t="shared" si="20"/>
        <v>yahoo.com</v>
      </c>
      <c r="K185" t="s">
        <v>1090</v>
      </c>
      <c r="L185" t="s">
        <v>1456</v>
      </c>
      <c r="M185" s="2">
        <v>45651</v>
      </c>
      <c r="N185" t="s">
        <v>1455</v>
      </c>
      <c r="O185" t="s">
        <v>667</v>
      </c>
      <c r="P185">
        <v>421.7</v>
      </c>
      <c r="Q185">
        <v>2</v>
      </c>
      <c r="R185" t="s">
        <v>34</v>
      </c>
      <c r="S185" s="5">
        <v>8</v>
      </c>
      <c r="T185" s="3">
        <v>5</v>
      </c>
      <c r="U185" s="4" t="str">
        <f t="shared" si="21"/>
        <v>Before_time</v>
      </c>
      <c r="V185">
        <v>45</v>
      </c>
      <c r="W185" s="3">
        <f t="shared" si="22"/>
        <v>2</v>
      </c>
      <c r="X185" s="2">
        <v>45653</v>
      </c>
      <c r="Y185" s="1">
        <f>YEAR(Table2[[#This Row],[Delivery_Date]])</f>
        <v>2024</v>
      </c>
      <c r="Z185" s="2" t="str">
        <f t="shared" si="23"/>
        <v>Dec</v>
      </c>
      <c r="AA185" t="s">
        <v>1454</v>
      </c>
      <c r="AB185">
        <f t="shared" si="24"/>
        <v>820.928</v>
      </c>
      <c r="AC185">
        <f>Table2[[#This Row],[Price]]*Table2[[#This Row],[Quantity]]*Table2[[#This Row],[COUPON %]]/100</f>
        <v>67.471999999999994</v>
      </c>
      <c r="AD185">
        <f t="shared" si="25"/>
        <v>775.928</v>
      </c>
      <c r="AE185" s="1">
        <f t="shared" si="26"/>
        <v>843.4</v>
      </c>
    </row>
    <row r="186" spans="1:31" x14ac:dyDescent="0.25">
      <c r="A186" t="s">
        <v>164</v>
      </c>
      <c r="B186" t="str">
        <f t="shared" si="18"/>
        <v xml:space="preserve">Mallory Mitchell </v>
      </c>
      <c r="C186" t="s">
        <v>163</v>
      </c>
      <c r="D186" t="s">
        <v>162</v>
      </c>
      <c r="E186">
        <v>42</v>
      </c>
      <c r="F186" t="str">
        <f t="shared" si="19"/>
        <v>36-45</v>
      </c>
      <c r="G186" t="s">
        <v>29</v>
      </c>
      <c r="H186" t="s">
        <v>79</v>
      </c>
      <c r="I186" t="s">
        <v>161</v>
      </c>
      <c r="J186" t="str">
        <f t="shared" si="20"/>
        <v>yahoo.com</v>
      </c>
      <c r="K186" t="s">
        <v>160</v>
      </c>
      <c r="L186" t="s">
        <v>1453</v>
      </c>
      <c r="M186" s="2">
        <v>45455</v>
      </c>
      <c r="N186" t="s">
        <v>1452</v>
      </c>
      <c r="O186" t="s">
        <v>290</v>
      </c>
      <c r="P186">
        <v>372.62</v>
      </c>
      <c r="Q186">
        <v>1</v>
      </c>
      <c r="R186" t="s">
        <v>93</v>
      </c>
      <c r="S186" s="5">
        <v>15</v>
      </c>
      <c r="T186" s="3">
        <v>3</v>
      </c>
      <c r="U186" s="4" t="str">
        <f t="shared" si="21"/>
        <v>On_time</v>
      </c>
      <c r="V186">
        <v>35</v>
      </c>
      <c r="W186" s="3">
        <f t="shared" si="22"/>
        <v>3</v>
      </c>
      <c r="X186" s="2">
        <v>45458</v>
      </c>
      <c r="Y186" s="1">
        <f>YEAR(Table2[[#This Row],[Delivery_Date]])</f>
        <v>2024</v>
      </c>
      <c r="Z186" s="2" t="str">
        <f t="shared" si="23"/>
        <v>Jun</v>
      </c>
      <c r="AA186" t="s">
        <v>1451</v>
      </c>
      <c r="AB186">
        <f t="shared" si="24"/>
        <v>351.72699999999998</v>
      </c>
      <c r="AC186">
        <f>Table2[[#This Row],[Price]]*Table2[[#This Row],[Quantity]]*Table2[[#This Row],[COUPON %]]/100</f>
        <v>55.893000000000001</v>
      </c>
      <c r="AD186">
        <f t="shared" si="25"/>
        <v>316.72699999999998</v>
      </c>
      <c r="AE186" s="1">
        <f t="shared" si="26"/>
        <v>372.62</v>
      </c>
    </row>
    <row r="187" spans="1:31" x14ac:dyDescent="0.25">
      <c r="A187" t="s">
        <v>753</v>
      </c>
      <c r="B187" t="str">
        <f t="shared" si="18"/>
        <v xml:space="preserve">Brandon Cruz </v>
      </c>
      <c r="C187" t="s">
        <v>752</v>
      </c>
      <c r="D187" t="s">
        <v>751</v>
      </c>
      <c r="E187">
        <v>32</v>
      </c>
      <c r="F187" t="str">
        <f t="shared" si="19"/>
        <v>26-35</v>
      </c>
      <c r="G187" t="s">
        <v>8</v>
      </c>
      <c r="H187" t="s">
        <v>118</v>
      </c>
      <c r="I187" t="s">
        <v>750</v>
      </c>
      <c r="J187" t="str">
        <f t="shared" si="20"/>
        <v>gmail.com</v>
      </c>
      <c r="K187" t="s">
        <v>749</v>
      </c>
      <c r="L187" t="s">
        <v>1450</v>
      </c>
      <c r="M187" s="2">
        <v>45455</v>
      </c>
      <c r="N187" t="s">
        <v>1449</v>
      </c>
      <c r="O187" t="s">
        <v>457</v>
      </c>
      <c r="P187">
        <v>363.64</v>
      </c>
      <c r="Q187">
        <v>3</v>
      </c>
      <c r="R187" t="s">
        <v>1</v>
      </c>
      <c r="S187" s="5">
        <v>0</v>
      </c>
      <c r="T187" s="3">
        <v>3</v>
      </c>
      <c r="U187" s="4" t="str">
        <f t="shared" si="21"/>
        <v>Late_Delivery</v>
      </c>
      <c r="V187">
        <v>70</v>
      </c>
      <c r="W187" s="3">
        <f t="shared" si="22"/>
        <v>6</v>
      </c>
      <c r="X187" s="2">
        <v>45461</v>
      </c>
      <c r="Y187" s="1">
        <f>YEAR(Table2[[#This Row],[Delivery_Date]])</f>
        <v>2024</v>
      </c>
      <c r="Z187" s="2" t="str">
        <f t="shared" si="23"/>
        <v>Jun</v>
      </c>
      <c r="AA187" t="s">
        <v>1448</v>
      </c>
      <c r="AB187">
        <f t="shared" si="24"/>
        <v>1160.92</v>
      </c>
      <c r="AC187">
        <f>Table2[[#This Row],[Price]]*Table2[[#This Row],[Quantity]]*Table2[[#This Row],[COUPON %]]/100</f>
        <v>0</v>
      </c>
      <c r="AD187">
        <f t="shared" si="25"/>
        <v>1090.92</v>
      </c>
      <c r="AE187" s="1">
        <f t="shared" si="26"/>
        <v>1090.92</v>
      </c>
    </row>
    <row r="188" spans="1:31" x14ac:dyDescent="0.25">
      <c r="A188" t="s">
        <v>1447</v>
      </c>
      <c r="B188" t="str">
        <f t="shared" si="18"/>
        <v xml:space="preserve">Christine West </v>
      </c>
      <c r="C188" t="s">
        <v>340</v>
      </c>
      <c r="D188" t="s">
        <v>1446</v>
      </c>
      <c r="E188">
        <v>53</v>
      </c>
      <c r="F188" t="str">
        <f t="shared" si="19"/>
        <v>&gt;45</v>
      </c>
      <c r="G188" t="s">
        <v>8</v>
      </c>
      <c r="H188" t="s">
        <v>28</v>
      </c>
      <c r="I188" t="s">
        <v>1445</v>
      </c>
      <c r="J188" t="str">
        <f t="shared" si="20"/>
        <v>gmail.com</v>
      </c>
      <c r="K188" t="s">
        <v>1444</v>
      </c>
      <c r="L188" t="s">
        <v>1443</v>
      </c>
      <c r="M188" s="2">
        <v>45561</v>
      </c>
      <c r="N188" t="s">
        <v>1442</v>
      </c>
      <c r="O188" t="s">
        <v>361</v>
      </c>
      <c r="P188">
        <v>330.11</v>
      </c>
      <c r="Q188">
        <v>4</v>
      </c>
      <c r="R188" t="s">
        <v>64</v>
      </c>
      <c r="S188" s="5">
        <v>20</v>
      </c>
      <c r="T188" s="3">
        <v>4</v>
      </c>
      <c r="U188" s="4" t="str">
        <f t="shared" si="21"/>
        <v>Late_Delivery</v>
      </c>
      <c r="V188">
        <v>47</v>
      </c>
      <c r="W188" s="3">
        <f t="shared" si="22"/>
        <v>5</v>
      </c>
      <c r="X188" s="2">
        <v>45566</v>
      </c>
      <c r="Y188" s="1">
        <f>YEAR(Table2[[#This Row],[Delivery_Date]])</f>
        <v>2024</v>
      </c>
      <c r="Z188" s="2" t="str">
        <f t="shared" si="23"/>
        <v>Oct</v>
      </c>
      <c r="AA188" t="s">
        <v>1441</v>
      </c>
      <c r="AB188">
        <f t="shared" si="24"/>
        <v>1103.3520000000001</v>
      </c>
      <c r="AC188">
        <f>Table2[[#This Row],[Price]]*Table2[[#This Row],[Quantity]]*Table2[[#This Row],[COUPON %]]/100</f>
        <v>264.08800000000002</v>
      </c>
      <c r="AD188">
        <f t="shared" si="25"/>
        <v>1056.3520000000001</v>
      </c>
      <c r="AE188" s="1">
        <f t="shared" si="26"/>
        <v>1320.44</v>
      </c>
    </row>
    <row r="189" spans="1:31" x14ac:dyDescent="0.25">
      <c r="A189" t="s">
        <v>288</v>
      </c>
      <c r="B189" t="str">
        <f t="shared" si="18"/>
        <v xml:space="preserve">Jenny Estrada </v>
      </c>
      <c r="C189" t="s">
        <v>287</v>
      </c>
      <c r="D189" t="s">
        <v>286</v>
      </c>
      <c r="E189">
        <v>45</v>
      </c>
      <c r="F189" t="str">
        <f t="shared" si="19"/>
        <v>36-45</v>
      </c>
      <c r="G189" t="s">
        <v>108</v>
      </c>
      <c r="H189" t="s">
        <v>7</v>
      </c>
      <c r="I189" t="s">
        <v>285</v>
      </c>
      <c r="J189" t="str">
        <f t="shared" si="20"/>
        <v>yahoo.com</v>
      </c>
      <c r="K189" t="s">
        <v>284</v>
      </c>
      <c r="L189" t="s">
        <v>1440</v>
      </c>
      <c r="M189" s="2">
        <v>45099</v>
      </c>
      <c r="N189" t="s">
        <v>1439</v>
      </c>
      <c r="O189" t="s">
        <v>123</v>
      </c>
      <c r="P189">
        <v>107.47</v>
      </c>
      <c r="Q189">
        <v>1</v>
      </c>
      <c r="R189" t="s">
        <v>166</v>
      </c>
      <c r="S189" s="5">
        <v>10</v>
      </c>
      <c r="T189" s="3">
        <v>5</v>
      </c>
      <c r="U189" s="4" t="str">
        <f t="shared" si="21"/>
        <v>On_time</v>
      </c>
      <c r="V189">
        <v>56</v>
      </c>
      <c r="W189" s="3">
        <f t="shared" si="22"/>
        <v>5</v>
      </c>
      <c r="X189" s="2">
        <v>45104</v>
      </c>
      <c r="Y189" s="1">
        <f>YEAR(Table2[[#This Row],[Delivery_Date]])</f>
        <v>2023</v>
      </c>
      <c r="Z189" s="2" t="str">
        <f t="shared" si="23"/>
        <v>Jun</v>
      </c>
      <c r="AA189" t="s">
        <v>1438</v>
      </c>
      <c r="AB189">
        <f t="shared" si="24"/>
        <v>152.72300000000001</v>
      </c>
      <c r="AC189">
        <f>Table2[[#This Row],[Price]]*Table2[[#This Row],[Quantity]]*Table2[[#This Row],[COUPON %]]/100</f>
        <v>10.747</v>
      </c>
      <c r="AD189">
        <f t="shared" si="25"/>
        <v>96.722999999999999</v>
      </c>
      <c r="AE189" s="1">
        <f t="shared" si="26"/>
        <v>107.47</v>
      </c>
    </row>
    <row r="190" spans="1:31" x14ac:dyDescent="0.25">
      <c r="A190" t="s">
        <v>297</v>
      </c>
      <c r="B190" t="str">
        <f t="shared" si="18"/>
        <v xml:space="preserve">Erin Miller </v>
      </c>
      <c r="C190" t="s">
        <v>296</v>
      </c>
      <c r="D190" t="s">
        <v>295</v>
      </c>
      <c r="E190">
        <v>46</v>
      </c>
      <c r="F190" t="str">
        <f t="shared" si="19"/>
        <v>&gt;45</v>
      </c>
      <c r="G190" t="s">
        <v>108</v>
      </c>
      <c r="H190" t="s">
        <v>79</v>
      </c>
      <c r="I190" t="s">
        <v>294</v>
      </c>
      <c r="J190" t="str">
        <f t="shared" si="20"/>
        <v>gmail.com</v>
      </c>
      <c r="K190" t="s">
        <v>293</v>
      </c>
      <c r="L190" t="s">
        <v>1437</v>
      </c>
      <c r="M190" s="2">
        <v>45586</v>
      </c>
      <c r="N190" t="s">
        <v>1436</v>
      </c>
      <c r="O190" t="s">
        <v>582</v>
      </c>
      <c r="P190">
        <v>126.19</v>
      </c>
      <c r="Q190">
        <v>1</v>
      </c>
      <c r="R190" t="s">
        <v>64</v>
      </c>
      <c r="S190" s="5">
        <v>20</v>
      </c>
      <c r="T190" s="3">
        <v>5</v>
      </c>
      <c r="U190" s="4" t="str">
        <f t="shared" si="21"/>
        <v>Before_time</v>
      </c>
      <c r="V190">
        <v>68</v>
      </c>
      <c r="W190" s="3">
        <f t="shared" si="22"/>
        <v>2</v>
      </c>
      <c r="X190" s="2">
        <v>45588</v>
      </c>
      <c r="Y190" s="1">
        <f>YEAR(Table2[[#This Row],[Delivery_Date]])</f>
        <v>2024</v>
      </c>
      <c r="Z190" s="2" t="str">
        <f t="shared" si="23"/>
        <v>Oct</v>
      </c>
      <c r="AA190" t="s">
        <v>1435</v>
      </c>
      <c r="AB190">
        <f t="shared" si="24"/>
        <v>168.952</v>
      </c>
      <c r="AC190">
        <f>Table2[[#This Row],[Price]]*Table2[[#This Row],[Quantity]]*Table2[[#This Row],[COUPON %]]/100</f>
        <v>25.238000000000003</v>
      </c>
      <c r="AD190">
        <f t="shared" si="25"/>
        <v>100.952</v>
      </c>
      <c r="AE190" s="1">
        <f t="shared" si="26"/>
        <v>126.19</v>
      </c>
    </row>
    <row r="191" spans="1:31" x14ac:dyDescent="0.25">
      <c r="A191" t="s">
        <v>218</v>
      </c>
      <c r="B191" t="str">
        <f t="shared" si="18"/>
        <v xml:space="preserve">Beth Mason </v>
      </c>
      <c r="C191" t="s">
        <v>217</v>
      </c>
      <c r="D191" t="s">
        <v>216</v>
      </c>
      <c r="E191">
        <v>45</v>
      </c>
      <c r="F191" t="str">
        <f t="shared" si="19"/>
        <v>36-45</v>
      </c>
      <c r="G191" t="s">
        <v>8</v>
      </c>
      <c r="H191" t="s">
        <v>118</v>
      </c>
      <c r="I191" t="s">
        <v>215</v>
      </c>
      <c r="J191" t="str">
        <f t="shared" si="20"/>
        <v>outlook.com</v>
      </c>
      <c r="K191" t="s">
        <v>214</v>
      </c>
      <c r="L191" t="s">
        <v>1434</v>
      </c>
      <c r="M191" s="2">
        <v>45060</v>
      </c>
      <c r="N191" t="s">
        <v>1433</v>
      </c>
      <c r="O191" t="s">
        <v>312</v>
      </c>
      <c r="P191">
        <v>381.73</v>
      </c>
      <c r="Q191">
        <v>2</v>
      </c>
      <c r="R191" t="s">
        <v>1</v>
      </c>
      <c r="S191" s="5">
        <v>0</v>
      </c>
      <c r="T191" s="3">
        <v>5</v>
      </c>
      <c r="U191" s="4" t="str">
        <f t="shared" si="21"/>
        <v>Late_Delivery</v>
      </c>
      <c r="V191">
        <v>38</v>
      </c>
      <c r="W191" s="3">
        <f t="shared" si="22"/>
        <v>6</v>
      </c>
      <c r="X191" s="2">
        <v>45066</v>
      </c>
      <c r="Y191" s="1">
        <f>YEAR(Table2[[#This Row],[Delivery_Date]])</f>
        <v>2023</v>
      </c>
      <c r="Z191" s="2" t="str">
        <f t="shared" si="23"/>
        <v>May</v>
      </c>
      <c r="AA191" t="s">
        <v>1432</v>
      </c>
      <c r="AB191">
        <f t="shared" si="24"/>
        <v>801.46</v>
      </c>
      <c r="AC191">
        <f>Table2[[#This Row],[Price]]*Table2[[#This Row],[Quantity]]*Table2[[#This Row],[COUPON %]]/100</f>
        <v>0</v>
      </c>
      <c r="AD191">
        <f t="shared" si="25"/>
        <v>763.46</v>
      </c>
      <c r="AE191" s="1">
        <f t="shared" si="26"/>
        <v>763.46</v>
      </c>
    </row>
    <row r="192" spans="1:31" x14ac:dyDescent="0.25">
      <c r="A192" t="s">
        <v>231</v>
      </c>
      <c r="B192" t="str">
        <f t="shared" si="18"/>
        <v xml:space="preserve">Debra Hayes </v>
      </c>
      <c r="C192" t="s">
        <v>230</v>
      </c>
      <c r="D192" t="s">
        <v>229</v>
      </c>
      <c r="E192">
        <v>33</v>
      </c>
      <c r="F192" t="str">
        <f t="shared" si="19"/>
        <v>26-35</v>
      </c>
      <c r="G192" t="s">
        <v>108</v>
      </c>
      <c r="H192" t="s">
        <v>79</v>
      </c>
      <c r="I192" t="s">
        <v>228</v>
      </c>
      <c r="J192" t="str">
        <f t="shared" si="20"/>
        <v>yahoo.com</v>
      </c>
      <c r="K192" t="s">
        <v>227</v>
      </c>
      <c r="L192" t="s">
        <v>1431</v>
      </c>
      <c r="M192" s="2">
        <v>45069</v>
      </c>
      <c r="N192" t="s">
        <v>1430</v>
      </c>
      <c r="O192" t="s">
        <v>600</v>
      </c>
      <c r="P192">
        <v>292.14999999999998</v>
      </c>
      <c r="Q192">
        <v>5</v>
      </c>
      <c r="R192" t="s">
        <v>166</v>
      </c>
      <c r="S192" s="5">
        <v>10</v>
      </c>
      <c r="T192" s="3">
        <v>6</v>
      </c>
      <c r="U192" s="4" t="str">
        <f t="shared" si="21"/>
        <v>Before_time</v>
      </c>
      <c r="V192">
        <v>68</v>
      </c>
      <c r="W192" s="3">
        <f t="shared" si="22"/>
        <v>2</v>
      </c>
      <c r="X192" s="2">
        <v>45071</v>
      </c>
      <c r="Y192" s="1">
        <f>YEAR(Table2[[#This Row],[Delivery_Date]])</f>
        <v>2023</v>
      </c>
      <c r="Z192" s="2" t="str">
        <f t="shared" si="23"/>
        <v>May</v>
      </c>
      <c r="AA192" t="s">
        <v>1429</v>
      </c>
      <c r="AB192">
        <f t="shared" si="24"/>
        <v>1382.675</v>
      </c>
      <c r="AC192">
        <f>Table2[[#This Row],[Price]]*Table2[[#This Row],[Quantity]]*Table2[[#This Row],[COUPON %]]/100</f>
        <v>146.07499999999999</v>
      </c>
      <c r="AD192">
        <f t="shared" si="25"/>
        <v>1314.675</v>
      </c>
      <c r="AE192" s="1">
        <f t="shared" si="26"/>
        <v>1460.75</v>
      </c>
    </row>
    <row r="193" spans="1:31" x14ac:dyDescent="0.25">
      <c r="A193" t="s">
        <v>1092</v>
      </c>
      <c r="B193" t="str">
        <f t="shared" si="18"/>
        <v xml:space="preserve">Mitchell Parker </v>
      </c>
      <c r="C193" t="s">
        <v>162</v>
      </c>
      <c r="D193" t="s">
        <v>145</v>
      </c>
      <c r="E193">
        <v>39</v>
      </c>
      <c r="F193" t="str">
        <f t="shared" si="19"/>
        <v>36-45</v>
      </c>
      <c r="G193" t="s">
        <v>8</v>
      </c>
      <c r="H193" t="s">
        <v>7</v>
      </c>
      <c r="I193" t="s">
        <v>1091</v>
      </c>
      <c r="J193" t="str">
        <f t="shared" si="20"/>
        <v>yahoo.com</v>
      </c>
      <c r="K193" t="s">
        <v>1090</v>
      </c>
      <c r="L193" t="s">
        <v>1428</v>
      </c>
      <c r="M193" s="2">
        <v>45036</v>
      </c>
      <c r="N193" t="s">
        <v>1427</v>
      </c>
      <c r="O193" t="s">
        <v>519</v>
      </c>
      <c r="P193">
        <v>136.30000000000001</v>
      </c>
      <c r="Q193">
        <v>3</v>
      </c>
      <c r="R193" t="s">
        <v>93</v>
      </c>
      <c r="S193" s="5">
        <v>15</v>
      </c>
      <c r="T193" s="3">
        <v>6</v>
      </c>
      <c r="U193" s="4" t="str">
        <f t="shared" si="21"/>
        <v>Late_Delivery</v>
      </c>
      <c r="V193">
        <v>42</v>
      </c>
      <c r="W193" s="3">
        <f t="shared" si="22"/>
        <v>7</v>
      </c>
      <c r="X193" s="2">
        <v>45043</v>
      </c>
      <c r="Y193" s="1">
        <f>YEAR(Table2[[#This Row],[Delivery_Date]])</f>
        <v>2023</v>
      </c>
      <c r="Z193" s="2" t="str">
        <f t="shared" si="23"/>
        <v>Apr</v>
      </c>
      <c r="AA193" t="s">
        <v>1426</v>
      </c>
      <c r="AB193">
        <f t="shared" si="24"/>
        <v>389.565</v>
      </c>
      <c r="AC193">
        <f>Table2[[#This Row],[Price]]*Table2[[#This Row],[Quantity]]*Table2[[#This Row],[COUPON %]]/100</f>
        <v>61.335000000000008</v>
      </c>
      <c r="AD193">
        <f t="shared" si="25"/>
        <v>347.565</v>
      </c>
      <c r="AE193" s="1">
        <f t="shared" si="26"/>
        <v>408.90000000000003</v>
      </c>
    </row>
    <row r="194" spans="1:31" x14ac:dyDescent="0.25">
      <c r="A194" t="s">
        <v>279</v>
      </c>
      <c r="B194" t="str">
        <f t="shared" ref="B194:B257" si="27">CONCATENATE(C194," ", D194," ")</f>
        <v xml:space="preserve">Amy Ellis </v>
      </c>
      <c r="C194" t="s">
        <v>270</v>
      </c>
      <c r="D194" t="s">
        <v>278</v>
      </c>
      <c r="E194">
        <v>44</v>
      </c>
      <c r="F194" t="str">
        <f t="shared" ref="F194:F257" si="28">IF(E194&lt;=25,"0-25",IF(E194&lt;=35,"26-35",IF(E194&lt;=45,"36-45","&gt;45")))</f>
        <v>36-45</v>
      </c>
      <c r="G194" t="s">
        <v>8</v>
      </c>
      <c r="H194" t="s">
        <v>118</v>
      </c>
      <c r="I194" t="s">
        <v>277</v>
      </c>
      <c r="J194" t="str">
        <f t="shared" ref="J194:J257" si="29">MID(I194,FIND("@",I194)+1,100)</f>
        <v>gmail.com</v>
      </c>
      <c r="K194" t="s">
        <v>276</v>
      </c>
      <c r="L194" t="s">
        <v>1425</v>
      </c>
      <c r="M194" s="2">
        <v>45208</v>
      </c>
      <c r="N194" t="s">
        <v>1424</v>
      </c>
      <c r="O194" t="s">
        <v>273</v>
      </c>
      <c r="P194">
        <v>403.03</v>
      </c>
      <c r="Q194">
        <v>3</v>
      </c>
      <c r="R194" t="s">
        <v>93</v>
      </c>
      <c r="S194" s="5">
        <v>15</v>
      </c>
      <c r="T194" s="3">
        <v>4</v>
      </c>
      <c r="U194" s="4" t="str">
        <f t="shared" ref="U194:U257" si="30">IF(W194&lt;T194,"Before_time",IF(W194&gt;T194,"Late_Delivery","On_time"))</f>
        <v>Late_Delivery</v>
      </c>
      <c r="V194">
        <v>67</v>
      </c>
      <c r="W194" s="3">
        <f t="shared" ref="W194:W257" si="31">DATEDIF(M194,X194,"D")</f>
        <v>5</v>
      </c>
      <c r="X194" s="2">
        <v>45213</v>
      </c>
      <c r="Y194" s="1">
        <f>YEAR(Table2[[#This Row],[Delivery_Date]])</f>
        <v>2023</v>
      </c>
      <c r="Z194" s="2" t="str">
        <f t="shared" ref="Z194:Z257" si="32">TEXT(X194,"mmm")</f>
        <v>Oct</v>
      </c>
      <c r="AA194" t="s">
        <v>1423</v>
      </c>
      <c r="AB194">
        <f t="shared" ref="AB194:AB257" si="33">AD194+V194</f>
        <v>1094.7265</v>
      </c>
      <c r="AC194">
        <f>Table2[[#This Row],[Price]]*Table2[[#This Row],[Quantity]]*Table2[[#This Row],[COUPON %]]/100</f>
        <v>181.36349999999999</v>
      </c>
      <c r="AD194">
        <f t="shared" ref="AD194:AD257" si="34">P194*Q194*(1-S194/100)</f>
        <v>1027.7265</v>
      </c>
      <c r="AE194" s="1">
        <f t="shared" ref="AE194:AE257" si="35">P194*Q194</f>
        <v>1209.0899999999999</v>
      </c>
    </row>
    <row r="195" spans="1:31" x14ac:dyDescent="0.25">
      <c r="A195" t="s">
        <v>613</v>
      </c>
      <c r="B195" t="str">
        <f t="shared" si="27"/>
        <v xml:space="preserve">Mary Knight </v>
      </c>
      <c r="C195" t="s">
        <v>612</v>
      </c>
      <c r="D195" t="s">
        <v>611</v>
      </c>
      <c r="E195">
        <v>28</v>
      </c>
      <c r="F195" t="str">
        <f t="shared" si="28"/>
        <v>26-35</v>
      </c>
      <c r="G195" t="s">
        <v>8</v>
      </c>
      <c r="H195" t="s">
        <v>28</v>
      </c>
      <c r="I195" t="s">
        <v>610</v>
      </c>
      <c r="J195" t="str">
        <f t="shared" si="29"/>
        <v>yahoo.com</v>
      </c>
      <c r="K195" t="s">
        <v>609</v>
      </c>
      <c r="L195" t="s">
        <v>1422</v>
      </c>
      <c r="M195" s="2">
        <v>45241</v>
      </c>
      <c r="N195" t="s">
        <v>1421</v>
      </c>
      <c r="O195" t="s">
        <v>281</v>
      </c>
      <c r="P195">
        <v>445.81</v>
      </c>
      <c r="Q195">
        <v>2</v>
      </c>
      <c r="R195" t="s">
        <v>1</v>
      </c>
      <c r="S195" s="5">
        <v>0</v>
      </c>
      <c r="T195" s="3">
        <v>7</v>
      </c>
      <c r="U195" s="4" t="str">
        <f t="shared" si="30"/>
        <v>Before_time</v>
      </c>
      <c r="V195">
        <v>67</v>
      </c>
      <c r="W195" s="3">
        <f t="shared" si="31"/>
        <v>1</v>
      </c>
      <c r="X195" s="2">
        <v>45242</v>
      </c>
      <c r="Y195" s="1">
        <f>YEAR(Table2[[#This Row],[Delivery_Date]])</f>
        <v>2023</v>
      </c>
      <c r="Z195" s="2" t="str">
        <f t="shared" si="32"/>
        <v>Nov</v>
      </c>
      <c r="AA195" t="s">
        <v>1420</v>
      </c>
      <c r="AB195">
        <f t="shared" si="33"/>
        <v>958.62</v>
      </c>
      <c r="AC195">
        <f>Table2[[#This Row],[Price]]*Table2[[#This Row],[Quantity]]*Table2[[#This Row],[COUPON %]]/100</f>
        <v>0</v>
      </c>
      <c r="AD195">
        <f t="shared" si="34"/>
        <v>891.62</v>
      </c>
      <c r="AE195" s="1">
        <f t="shared" si="35"/>
        <v>891.62</v>
      </c>
    </row>
    <row r="196" spans="1:31" x14ac:dyDescent="0.25">
      <c r="A196" t="s">
        <v>341</v>
      </c>
      <c r="B196" t="str">
        <f t="shared" si="27"/>
        <v xml:space="preserve">Christine Aguilar </v>
      </c>
      <c r="C196" t="s">
        <v>340</v>
      </c>
      <c r="D196" t="s">
        <v>339</v>
      </c>
      <c r="E196">
        <v>46</v>
      </c>
      <c r="F196" t="str">
        <f t="shared" si="28"/>
        <v>&gt;45</v>
      </c>
      <c r="G196" t="s">
        <v>108</v>
      </c>
      <c r="H196" t="s">
        <v>107</v>
      </c>
      <c r="I196" t="s">
        <v>338</v>
      </c>
      <c r="J196" t="str">
        <f t="shared" si="29"/>
        <v>gmail.com</v>
      </c>
      <c r="K196" t="s">
        <v>337</v>
      </c>
      <c r="L196" t="s">
        <v>1419</v>
      </c>
      <c r="M196" s="2">
        <v>45051</v>
      </c>
      <c r="N196" t="s">
        <v>1418</v>
      </c>
      <c r="O196" t="s">
        <v>74</v>
      </c>
      <c r="P196">
        <v>129.75</v>
      </c>
      <c r="Q196">
        <v>5</v>
      </c>
      <c r="R196" t="s">
        <v>64</v>
      </c>
      <c r="S196" s="5">
        <v>20</v>
      </c>
      <c r="T196" s="3">
        <v>6</v>
      </c>
      <c r="U196" s="4" t="str">
        <f t="shared" si="30"/>
        <v>On_time</v>
      </c>
      <c r="V196">
        <v>38</v>
      </c>
      <c r="W196" s="3">
        <f t="shared" si="31"/>
        <v>6</v>
      </c>
      <c r="X196" s="2">
        <v>45057</v>
      </c>
      <c r="Y196" s="1">
        <f>YEAR(Table2[[#This Row],[Delivery_Date]])</f>
        <v>2023</v>
      </c>
      <c r="Z196" s="2" t="str">
        <f t="shared" si="32"/>
        <v>May</v>
      </c>
      <c r="AA196" t="s">
        <v>1417</v>
      </c>
      <c r="AB196">
        <f t="shared" si="33"/>
        <v>557</v>
      </c>
      <c r="AC196">
        <f>Table2[[#This Row],[Price]]*Table2[[#This Row],[Quantity]]*Table2[[#This Row],[COUPON %]]/100</f>
        <v>129.75</v>
      </c>
      <c r="AD196">
        <f t="shared" si="34"/>
        <v>519</v>
      </c>
      <c r="AE196" s="1">
        <f t="shared" si="35"/>
        <v>648.75</v>
      </c>
    </row>
    <row r="197" spans="1:31" x14ac:dyDescent="0.25">
      <c r="A197" t="s">
        <v>557</v>
      </c>
      <c r="B197" t="str">
        <f t="shared" si="27"/>
        <v xml:space="preserve">Sarah Butler </v>
      </c>
      <c r="C197" t="s">
        <v>556</v>
      </c>
      <c r="D197" t="s">
        <v>555</v>
      </c>
      <c r="E197">
        <v>64</v>
      </c>
      <c r="F197" t="str">
        <f t="shared" si="28"/>
        <v>&gt;45</v>
      </c>
      <c r="G197" t="s">
        <v>108</v>
      </c>
      <c r="H197" t="s">
        <v>107</v>
      </c>
      <c r="I197" t="s">
        <v>554</v>
      </c>
      <c r="J197" t="str">
        <f t="shared" si="29"/>
        <v>rediffmail.com</v>
      </c>
      <c r="K197" t="s">
        <v>553</v>
      </c>
      <c r="L197" t="s">
        <v>1416</v>
      </c>
      <c r="M197" s="2">
        <v>45282</v>
      </c>
      <c r="N197" t="s">
        <v>1415</v>
      </c>
      <c r="O197" t="s">
        <v>94</v>
      </c>
      <c r="P197">
        <v>33.49</v>
      </c>
      <c r="Q197">
        <v>3</v>
      </c>
      <c r="R197" t="s">
        <v>93</v>
      </c>
      <c r="S197" s="5">
        <v>15</v>
      </c>
      <c r="T197" s="3">
        <v>2</v>
      </c>
      <c r="U197" s="4" t="str">
        <f t="shared" si="30"/>
        <v>On_time</v>
      </c>
      <c r="V197">
        <v>62</v>
      </c>
      <c r="W197" s="3">
        <f t="shared" si="31"/>
        <v>2</v>
      </c>
      <c r="X197" s="2">
        <v>45284</v>
      </c>
      <c r="Y197" s="1">
        <f>YEAR(Table2[[#This Row],[Delivery_Date]])</f>
        <v>2023</v>
      </c>
      <c r="Z197" s="2" t="str">
        <f t="shared" si="32"/>
        <v>Dec</v>
      </c>
      <c r="AA197" t="s">
        <v>1414</v>
      </c>
      <c r="AB197">
        <f t="shared" si="33"/>
        <v>147.39949999999999</v>
      </c>
      <c r="AC197">
        <f>Table2[[#This Row],[Price]]*Table2[[#This Row],[Quantity]]*Table2[[#This Row],[COUPON %]]/100</f>
        <v>15.070499999999999</v>
      </c>
      <c r="AD197">
        <f t="shared" si="34"/>
        <v>85.399500000000003</v>
      </c>
      <c r="AE197" s="1">
        <f t="shared" si="35"/>
        <v>100.47</v>
      </c>
    </row>
    <row r="198" spans="1:31" x14ac:dyDescent="0.25">
      <c r="A198" t="s">
        <v>753</v>
      </c>
      <c r="B198" t="str">
        <f t="shared" si="27"/>
        <v xml:space="preserve">Brandon Cruz </v>
      </c>
      <c r="C198" t="s">
        <v>752</v>
      </c>
      <c r="D198" t="s">
        <v>751</v>
      </c>
      <c r="E198">
        <v>32</v>
      </c>
      <c r="F198" t="str">
        <f t="shared" si="28"/>
        <v>26-35</v>
      </c>
      <c r="G198" t="s">
        <v>8</v>
      </c>
      <c r="H198" t="s">
        <v>118</v>
      </c>
      <c r="I198" t="s">
        <v>750</v>
      </c>
      <c r="J198" t="str">
        <f t="shared" si="29"/>
        <v>gmail.com</v>
      </c>
      <c r="K198" t="s">
        <v>749</v>
      </c>
      <c r="L198" t="s">
        <v>1413</v>
      </c>
      <c r="M198" s="2">
        <v>45689</v>
      </c>
      <c r="N198" t="s">
        <v>1412</v>
      </c>
      <c r="O198" t="s">
        <v>361</v>
      </c>
      <c r="P198">
        <v>330.11</v>
      </c>
      <c r="Q198">
        <v>4</v>
      </c>
      <c r="R198" t="s">
        <v>64</v>
      </c>
      <c r="S198" s="5">
        <v>20</v>
      </c>
      <c r="T198" s="3">
        <v>2</v>
      </c>
      <c r="U198" s="4" t="str">
        <f t="shared" si="30"/>
        <v>Late_Delivery</v>
      </c>
      <c r="V198">
        <v>69</v>
      </c>
      <c r="W198" s="3">
        <f t="shared" si="31"/>
        <v>6</v>
      </c>
      <c r="X198" s="2">
        <v>45695</v>
      </c>
      <c r="Y198" s="1">
        <f>YEAR(Table2[[#This Row],[Delivery_Date]])</f>
        <v>2025</v>
      </c>
      <c r="Z198" s="2" t="str">
        <f t="shared" si="32"/>
        <v>Feb</v>
      </c>
      <c r="AA198" t="s">
        <v>1411</v>
      </c>
      <c r="AB198">
        <f t="shared" si="33"/>
        <v>1125.3520000000001</v>
      </c>
      <c r="AC198">
        <f>Table2[[#This Row],[Price]]*Table2[[#This Row],[Quantity]]*Table2[[#This Row],[COUPON %]]/100</f>
        <v>264.08800000000002</v>
      </c>
      <c r="AD198">
        <f t="shared" si="34"/>
        <v>1056.3520000000001</v>
      </c>
      <c r="AE198" s="1">
        <f t="shared" si="35"/>
        <v>1320.44</v>
      </c>
    </row>
    <row r="199" spans="1:31" x14ac:dyDescent="0.25">
      <c r="A199" t="s">
        <v>206</v>
      </c>
      <c r="B199" t="str">
        <f t="shared" si="27"/>
        <v xml:space="preserve">Alexandra Smith </v>
      </c>
      <c r="C199" t="s">
        <v>205</v>
      </c>
      <c r="D199" t="s">
        <v>204</v>
      </c>
      <c r="E199">
        <v>70</v>
      </c>
      <c r="F199" t="str">
        <f t="shared" si="28"/>
        <v>&gt;45</v>
      </c>
      <c r="G199" t="s">
        <v>108</v>
      </c>
      <c r="H199" t="s">
        <v>107</v>
      </c>
      <c r="I199" t="s">
        <v>203</v>
      </c>
      <c r="J199" t="str">
        <f t="shared" si="29"/>
        <v>rediffmail.com</v>
      </c>
      <c r="K199" t="s">
        <v>202</v>
      </c>
      <c r="L199" t="s">
        <v>1410</v>
      </c>
      <c r="M199" s="2">
        <v>45045</v>
      </c>
      <c r="N199" t="s">
        <v>1409</v>
      </c>
      <c r="O199" t="s">
        <v>569</v>
      </c>
      <c r="P199">
        <v>202.54</v>
      </c>
      <c r="Q199">
        <v>5</v>
      </c>
      <c r="R199" t="s">
        <v>93</v>
      </c>
      <c r="S199" s="5">
        <v>15</v>
      </c>
      <c r="T199" s="3">
        <v>1</v>
      </c>
      <c r="U199" s="4" t="str">
        <f t="shared" si="30"/>
        <v>Late_Delivery</v>
      </c>
      <c r="V199">
        <v>47</v>
      </c>
      <c r="W199" s="3">
        <f t="shared" si="31"/>
        <v>6</v>
      </c>
      <c r="X199" s="2">
        <v>45051</v>
      </c>
      <c r="Y199" s="1">
        <f>YEAR(Table2[[#This Row],[Delivery_Date]])</f>
        <v>2023</v>
      </c>
      <c r="Z199" s="2" t="str">
        <f t="shared" si="32"/>
        <v>May</v>
      </c>
      <c r="AA199" t="s">
        <v>1408</v>
      </c>
      <c r="AB199">
        <f t="shared" si="33"/>
        <v>907.79499999999996</v>
      </c>
      <c r="AC199">
        <f>Table2[[#This Row],[Price]]*Table2[[#This Row],[Quantity]]*Table2[[#This Row],[COUPON %]]/100</f>
        <v>151.90499999999997</v>
      </c>
      <c r="AD199">
        <f t="shared" si="34"/>
        <v>860.79499999999996</v>
      </c>
      <c r="AE199" s="1">
        <f t="shared" si="35"/>
        <v>1012.6999999999999</v>
      </c>
    </row>
    <row r="200" spans="1:31" x14ac:dyDescent="0.25">
      <c r="A200" t="s">
        <v>111</v>
      </c>
      <c r="B200" t="str">
        <f t="shared" si="27"/>
        <v xml:space="preserve">Ashley Romero </v>
      </c>
      <c r="C200" t="s">
        <v>110</v>
      </c>
      <c r="D200" t="s">
        <v>109</v>
      </c>
      <c r="E200">
        <v>35</v>
      </c>
      <c r="F200" t="str">
        <f t="shared" si="28"/>
        <v>26-35</v>
      </c>
      <c r="G200" t="s">
        <v>108</v>
      </c>
      <c r="H200" t="s">
        <v>107</v>
      </c>
      <c r="I200" t="s">
        <v>106</v>
      </c>
      <c r="J200" t="str">
        <f t="shared" si="29"/>
        <v>yahoo.com</v>
      </c>
      <c r="K200" t="s">
        <v>105</v>
      </c>
      <c r="L200" t="s">
        <v>1407</v>
      </c>
      <c r="M200" s="2">
        <v>45253</v>
      </c>
      <c r="N200" t="s">
        <v>1406</v>
      </c>
      <c r="O200" t="s">
        <v>211</v>
      </c>
      <c r="P200">
        <v>166.28</v>
      </c>
      <c r="Q200">
        <v>4</v>
      </c>
      <c r="R200" t="s">
        <v>166</v>
      </c>
      <c r="S200" s="5">
        <v>10</v>
      </c>
      <c r="T200" s="3">
        <v>4</v>
      </c>
      <c r="U200" s="4" t="str">
        <f t="shared" si="30"/>
        <v>On_time</v>
      </c>
      <c r="V200">
        <v>44</v>
      </c>
      <c r="W200" s="3">
        <f t="shared" si="31"/>
        <v>4</v>
      </c>
      <c r="X200" s="2">
        <v>45257</v>
      </c>
      <c r="Y200" s="1">
        <f>YEAR(Table2[[#This Row],[Delivery_Date]])</f>
        <v>2023</v>
      </c>
      <c r="Z200" s="2" t="str">
        <f t="shared" si="32"/>
        <v>Nov</v>
      </c>
      <c r="AA200" t="s">
        <v>1405</v>
      </c>
      <c r="AB200">
        <f t="shared" si="33"/>
        <v>642.60800000000006</v>
      </c>
      <c r="AC200">
        <f>Table2[[#This Row],[Price]]*Table2[[#This Row],[Quantity]]*Table2[[#This Row],[COUPON %]]/100</f>
        <v>66.512</v>
      </c>
      <c r="AD200">
        <f t="shared" si="34"/>
        <v>598.60800000000006</v>
      </c>
      <c r="AE200" s="1">
        <f t="shared" si="35"/>
        <v>665.12</v>
      </c>
    </row>
    <row r="201" spans="1:31" x14ac:dyDescent="0.25">
      <c r="A201" t="s">
        <v>613</v>
      </c>
      <c r="B201" t="str">
        <f t="shared" si="27"/>
        <v xml:space="preserve">Mary Knight </v>
      </c>
      <c r="C201" t="s">
        <v>612</v>
      </c>
      <c r="D201" t="s">
        <v>611</v>
      </c>
      <c r="E201">
        <v>28</v>
      </c>
      <c r="F201" t="str">
        <f t="shared" si="28"/>
        <v>26-35</v>
      </c>
      <c r="G201" t="s">
        <v>8</v>
      </c>
      <c r="H201" t="s">
        <v>28</v>
      </c>
      <c r="I201" t="s">
        <v>610</v>
      </c>
      <c r="J201" t="str">
        <f t="shared" si="29"/>
        <v>yahoo.com</v>
      </c>
      <c r="K201" t="s">
        <v>609</v>
      </c>
      <c r="L201" t="s">
        <v>1404</v>
      </c>
      <c r="M201" s="2">
        <v>45523</v>
      </c>
      <c r="N201" t="s">
        <v>1403</v>
      </c>
      <c r="O201" t="s">
        <v>600</v>
      </c>
      <c r="P201">
        <v>292.14999999999998</v>
      </c>
      <c r="Q201">
        <v>2</v>
      </c>
      <c r="R201" t="s">
        <v>93</v>
      </c>
      <c r="S201" s="5">
        <v>15</v>
      </c>
      <c r="T201" s="3">
        <v>4</v>
      </c>
      <c r="U201" s="4" t="str">
        <f t="shared" si="30"/>
        <v>Before_time</v>
      </c>
      <c r="V201">
        <v>58</v>
      </c>
      <c r="W201" s="3">
        <f t="shared" si="31"/>
        <v>3</v>
      </c>
      <c r="X201" s="2">
        <v>45526</v>
      </c>
      <c r="Y201" s="1">
        <f>YEAR(Table2[[#This Row],[Delivery_Date]])</f>
        <v>2024</v>
      </c>
      <c r="Z201" s="2" t="str">
        <f t="shared" si="32"/>
        <v>Aug</v>
      </c>
      <c r="AA201" t="s">
        <v>1402</v>
      </c>
      <c r="AB201">
        <f t="shared" si="33"/>
        <v>554.65499999999997</v>
      </c>
      <c r="AC201">
        <f>Table2[[#This Row],[Price]]*Table2[[#This Row],[Quantity]]*Table2[[#This Row],[COUPON %]]/100</f>
        <v>87.644999999999996</v>
      </c>
      <c r="AD201">
        <f t="shared" si="34"/>
        <v>496.65499999999997</v>
      </c>
      <c r="AE201" s="1">
        <f t="shared" si="35"/>
        <v>584.29999999999995</v>
      </c>
    </row>
    <row r="202" spans="1:31" x14ac:dyDescent="0.25">
      <c r="A202" t="s">
        <v>341</v>
      </c>
      <c r="B202" t="str">
        <f t="shared" si="27"/>
        <v xml:space="preserve">Christine Aguilar </v>
      </c>
      <c r="C202" t="s">
        <v>340</v>
      </c>
      <c r="D202" t="s">
        <v>339</v>
      </c>
      <c r="E202">
        <v>46</v>
      </c>
      <c r="F202" t="str">
        <f t="shared" si="28"/>
        <v>&gt;45</v>
      </c>
      <c r="G202" t="s">
        <v>108</v>
      </c>
      <c r="H202" t="s">
        <v>107</v>
      </c>
      <c r="I202" t="s">
        <v>338</v>
      </c>
      <c r="J202" t="str">
        <f t="shared" si="29"/>
        <v>gmail.com</v>
      </c>
      <c r="K202" t="s">
        <v>337</v>
      </c>
      <c r="L202" t="s">
        <v>1401</v>
      </c>
      <c r="M202" s="2">
        <v>45481</v>
      </c>
      <c r="N202" t="s">
        <v>1400</v>
      </c>
      <c r="O202" t="s">
        <v>23</v>
      </c>
      <c r="P202">
        <v>272.51</v>
      </c>
      <c r="Q202">
        <v>4</v>
      </c>
      <c r="R202" t="s">
        <v>1</v>
      </c>
      <c r="S202" s="5">
        <v>0</v>
      </c>
      <c r="T202" s="3">
        <v>7</v>
      </c>
      <c r="U202" s="4" t="str">
        <f t="shared" si="30"/>
        <v>Before_time</v>
      </c>
      <c r="V202">
        <v>38</v>
      </c>
      <c r="W202" s="3">
        <f t="shared" si="31"/>
        <v>1</v>
      </c>
      <c r="X202" s="2">
        <v>45482</v>
      </c>
      <c r="Y202" s="1">
        <f>YEAR(Table2[[#This Row],[Delivery_Date]])</f>
        <v>2024</v>
      </c>
      <c r="Z202" s="2" t="str">
        <f t="shared" si="32"/>
        <v>Jul</v>
      </c>
      <c r="AA202" t="s">
        <v>1399</v>
      </c>
      <c r="AB202">
        <f t="shared" si="33"/>
        <v>1128.04</v>
      </c>
      <c r="AC202">
        <f>Table2[[#This Row],[Price]]*Table2[[#This Row],[Quantity]]*Table2[[#This Row],[COUPON %]]/100</f>
        <v>0</v>
      </c>
      <c r="AD202">
        <f t="shared" si="34"/>
        <v>1090.04</v>
      </c>
      <c r="AE202" s="1">
        <f t="shared" si="35"/>
        <v>1090.04</v>
      </c>
    </row>
    <row r="203" spans="1:31" x14ac:dyDescent="0.25">
      <c r="A203" t="s">
        <v>288</v>
      </c>
      <c r="B203" t="str">
        <f t="shared" si="27"/>
        <v xml:space="preserve">Jenny Estrada </v>
      </c>
      <c r="C203" t="s">
        <v>287</v>
      </c>
      <c r="D203" t="s">
        <v>286</v>
      </c>
      <c r="E203">
        <v>45</v>
      </c>
      <c r="F203" t="str">
        <f t="shared" si="28"/>
        <v>36-45</v>
      </c>
      <c r="G203" t="s">
        <v>108</v>
      </c>
      <c r="H203" t="s">
        <v>7</v>
      </c>
      <c r="I203" t="s">
        <v>285</v>
      </c>
      <c r="J203" t="str">
        <f t="shared" si="29"/>
        <v>yahoo.com</v>
      </c>
      <c r="K203" t="s">
        <v>284</v>
      </c>
      <c r="L203" t="s">
        <v>1398</v>
      </c>
      <c r="M203" s="2">
        <v>45079</v>
      </c>
      <c r="N203" t="s">
        <v>1397</v>
      </c>
      <c r="O203" t="s">
        <v>347</v>
      </c>
      <c r="P203">
        <v>157.63999999999999</v>
      </c>
      <c r="Q203">
        <v>3</v>
      </c>
      <c r="R203" t="s">
        <v>64</v>
      </c>
      <c r="S203" s="5">
        <v>20</v>
      </c>
      <c r="T203" s="3">
        <v>2</v>
      </c>
      <c r="U203" s="4" t="str">
        <f t="shared" si="30"/>
        <v>Late_Delivery</v>
      </c>
      <c r="V203">
        <v>47</v>
      </c>
      <c r="W203" s="3">
        <f t="shared" si="31"/>
        <v>6</v>
      </c>
      <c r="X203" s="2">
        <v>45085</v>
      </c>
      <c r="Y203" s="1">
        <f>YEAR(Table2[[#This Row],[Delivery_Date]])</f>
        <v>2023</v>
      </c>
      <c r="Z203" s="2" t="str">
        <f t="shared" si="32"/>
        <v>Jun</v>
      </c>
      <c r="AA203" t="s">
        <v>1396</v>
      </c>
      <c r="AB203">
        <f t="shared" si="33"/>
        <v>425.33600000000001</v>
      </c>
      <c r="AC203">
        <f>Table2[[#This Row],[Price]]*Table2[[#This Row],[Quantity]]*Table2[[#This Row],[COUPON %]]/100</f>
        <v>94.584000000000003</v>
      </c>
      <c r="AD203">
        <f t="shared" si="34"/>
        <v>378.33600000000001</v>
      </c>
      <c r="AE203" s="1">
        <f t="shared" si="35"/>
        <v>472.91999999999996</v>
      </c>
    </row>
    <row r="204" spans="1:31" x14ac:dyDescent="0.25">
      <c r="A204" t="s">
        <v>1195</v>
      </c>
      <c r="B204" t="str">
        <f t="shared" si="27"/>
        <v xml:space="preserve">Valerie Carr </v>
      </c>
      <c r="C204" t="s">
        <v>1194</v>
      </c>
      <c r="D204" t="s">
        <v>1193</v>
      </c>
      <c r="E204">
        <v>26</v>
      </c>
      <c r="F204" t="str">
        <f t="shared" si="28"/>
        <v>26-35</v>
      </c>
      <c r="G204" t="s">
        <v>8</v>
      </c>
      <c r="H204" t="s">
        <v>79</v>
      </c>
      <c r="I204" t="s">
        <v>1192</v>
      </c>
      <c r="J204" t="str">
        <f t="shared" si="29"/>
        <v>rediffmail.com</v>
      </c>
      <c r="K204" t="s">
        <v>1191</v>
      </c>
      <c r="L204" t="s">
        <v>1395</v>
      </c>
      <c r="M204" s="2">
        <v>45053</v>
      </c>
      <c r="N204" t="s">
        <v>1394</v>
      </c>
      <c r="O204" t="s">
        <v>84</v>
      </c>
      <c r="P204">
        <v>62.42</v>
      </c>
      <c r="Q204">
        <v>3</v>
      </c>
      <c r="R204" t="s">
        <v>93</v>
      </c>
      <c r="S204" s="5">
        <v>15</v>
      </c>
      <c r="T204" s="3">
        <v>5</v>
      </c>
      <c r="U204" s="4" t="str">
        <f t="shared" si="30"/>
        <v>On_time</v>
      </c>
      <c r="V204">
        <v>62</v>
      </c>
      <c r="W204" s="3">
        <f t="shared" si="31"/>
        <v>5</v>
      </c>
      <c r="X204" s="2">
        <v>45058</v>
      </c>
      <c r="Y204" s="1">
        <f>YEAR(Table2[[#This Row],[Delivery_Date]])</f>
        <v>2023</v>
      </c>
      <c r="Z204" s="2" t="str">
        <f t="shared" si="32"/>
        <v>May</v>
      </c>
      <c r="AA204" t="s">
        <v>1393</v>
      </c>
      <c r="AB204">
        <f t="shared" si="33"/>
        <v>221.17099999999999</v>
      </c>
      <c r="AC204">
        <f>Table2[[#This Row],[Price]]*Table2[[#This Row],[Quantity]]*Table2[[#This Row],[COUPON %]]/100</f>
        <v>28.088999999999995</v>
      </c>
      <c r="AD204">
        <f t="shared" si="34"/>
        <v>159.17099999999999</v>
      </c>
      <c r="AE204" s="1">
        <f t="shared" si="35"/>
        <v>187.26</v>
      </c>
    </row>
    <row r="205" spans="1:31" x14ac:dyDescent="0.25">
      <c r="A205" t="s">
        <v>510</v>
      </c>
      <c r="B205" t="str">
        <f t="shared" si="27"/>
        <v xml:space="preserve">Katherine Weber </v>
      </c>
      <c r="C205" t="s">
        <v>509</v>
      </c>
      <c r="D205" t="s">
        <v>508</v>
      </c>
      <c r="E205">
        <v>42</v>
      </c>
      <c r="F205" t="str">
        <f t="shared" si="28"/>
        <v>36-45</v>
      </c>
      <c r="G205" t="s">
        <v>8</v>
      </c>
      <c r="H205" t="s">
        <v>28</v>
      </c>
      <c r="I205" t="s">
        <v>507</v>
      </c>
      <c r="J205" t="str">
        <f t="shared" si="29"/>
        <v>outlook.com</v>
      </c>
      <c r="K205" t="s">
        <v>506</v>
      </c>
      <c r="L205" t="s">
        <v>1392</v>
      </c>
      <c r="M205" s="2">
        <v>45495</v>
      </c>
      <c r="N205" t="s">
        <v>1391</v>
      </c>
      <c r="O205" t="s">
        <v>457</v>
      </c>
      <c r="P205">
        <v>363.64</v>
      </c>
      <c r="Q205">
        <v>3</v>
      </c>
      <c r="R205" t="s">
        <v>34</v>
      </c>
      <c r="S205" s="5">
        <v>8</v>
      </c>
      <c r="T205" s="3">
        <v>5</v>
      </c>
      <c r="U205" s="4" t="str">
        <f t="shared" si="30"/>
        <v>Late_Delivery</v>
      </c>
      <c r="V205">
        <v>53</v>
      </c>
      <c r="W205" s="3">
        <f t="shared" si="31"/>
        <v>7</v>
      </c>
      <c r="X205" s="2">
        <v>45502</v>
      </c>
      <c r="Y205" s="1">
        <f>YEAR(Table2[[#This Row],[Delivery_Date]])</f>
        <v>2024</v>
      </c>
      <c r="Z205" s="2" t="str">
        <f t="shared" si="32"/>
        <v>Jul</v>
      </c>
      <c r="AA205" t="s">
        <v>1390</v>
      </c>
      <c r="AB205">
        <f t="shared" si="33"/>
        <v>1056.6464000000001</v>
      </c>
      <c r="AC205">
        <f>Table2[[#This Row],[Price]]*Table2[[#This Row],[Quantity]]*Table2[[#This Row],[COUPON %]]/100</f>
        <v>87.273600000000002</v>
      </c>
      <c r="AD205">
        <f t="shared" si="34"/>
        <v>1003.6464000000001</v>
      </c>
      <c r="AE205" s="1">
        <f t="shared" si="35"/>
        <v>1090.92</v>
      </c>
    </row>
    <row r="206" spans="1:31" x14ac:dyDescent="0.25">
      <c r="A206" t="s">
        <v>433</v>
      </c>
      <c r="B206" t="str">
        <f t="shared" si="27"/>
        <v xml:space="preserve">Jodi Whitney </v>
      </c>
      <c r="C206" t="s">
        <v>432</v>
      </c>
      <c r="D206" t="s">
        <v>431</v>
      </c>
      <c r="E206">
        <v>33</v>
      </c>
      <c r="F206" t="str">
        <f t="shared" si="28"/>
        <v>26-35</v>
      </c>
      <c r="G206" t="s">
        <v>8</v>
      </c>
      <c r="H206" t="s">
        <v>79</v>
      </c>
      <c r="I206" t="s">
        <v>430</v>
      </c>
      <c r="J206" t="str">
        <f t="shared" si="29"/>
        <v>yahoo.com</v>
      </c>
      <c r="K206" t="s">
        <v>429</v>
      </c>
      <c r="L206" t="s">
        <v>1389</v>
      </c>
      <c r="M206" s="2">
        <v>45125</v>
      </c>
      <c r="N206" t="s">
        <v>1388</v>
      </c>
      <c r="O206" t="s">
        <v>199</v>
      </c>
      <c r="P206">
        <v>477.52</v>
      </c>
      <c r="Q206">
        <v>4</v>
      </c>
      <c r="R206" t="s">
        <v>64</v>
      </c>
      <c r="S206" s="5">
        <v>20</v>
      </c>
      <c r="T206" s="3">
        <v>5</v>
      </c>
      <c r="U206" s="4" t="str">
        <f t="shared" si="30"/>
        <v>Before_time</v>
      </c>
      <c r="V206">
        <v>55</v>
      </c>
      <c r="W206" s="3">
        <f t="shared" si="31"/>
        <v>2</v>
      </c>
      <c r="X206" s="2">
        <v>45127</v>
      </c>
      <c r="Y206" s="1">
        <f>YEAR(Table2[[#This Row],[Delivery_Date]])</f>
        <v>2023</v>
      </c>
      <c r="Z206" s="2" t="str">
        <f t="shared" si="32"/>
        <v>Jul</v>
      </c>
      <c r="AA206" t="s">
        <v>1387</v>
      </c>
      <c r="AB206">
        <f t="shared" si="33"/>
        <v>1583.0640000000001</v>
      </c>
      <c r="AC206">
        <f>Table2[[#This Row],[Price]]*Table2[[#This Row],[Quantity]]*Table2[[#This Row],[COUPON %]]/100</f>
        <v>382.01599999999996</v>
      </c>
      <c r="AD206">
        <f t="shared" si="34"/>
        <v>1528.0640000000001</v>
      </c>
      <c r="AE206" s="1">
        <f t="shared" si="35"/>
        <v>1910.08</v>
      </c>
    </row>
    <row r="207" spans="1:31" x14ac:dyDescent="0.25">
      <c r="A207" t="s">
        <v>801</v>
      </c>
      <c r="B207" t="str">
        <f t="shared" si="27"/>
        <v xml:space="preserve">Mark Summers </v>
      </c>
      <c r="C207" t="s">
        <v>51</v>
      </c>
      <c r="D207" t="s">
        <v>800</v>
      </c>
      <c r="E207">
        <v>55</v>
      </c>
      <c r="F207" t="str">
        <f t="shared" si="28"/>
        <v>&gt;45</v>
      </c>
      <c r="G207" t="s">
        <v>29</v>
      </c>
      <c r="H207" t="s">
        <v>40</v>
      </c>
      <c r="I207" t="s">
        <v>799</v>
      </c>
      <c r="J207" t="str">
        <f t="shared" si="29"/>
        <v>outlook.com</v>
      </c>
      <c r="K207" t="s">
        <v>798</v>
      </c>
      <c r="L207" t="s">
        <v>1386</v>
      </c>
      <c r="M207" s="2">
        <v>45168</v>
      </c>
      <c r="N207" t="s">
        <v>1385</v>
      </c>
      <c r="O207" t="s">
        <v>582</v>
      </c>
      <c r="P207">
        <v>126.19</v>
      </c>
      <c r="Q207">
        <v>2</v>
      </c>
      <c r="R207" t="s">
        <v>1</v>
      </c>
      <c r="S207" s="5">
        <v>0</v>
      </c>
      <c r="T207" s="3">
        <v>5</v>
      </c>
      <c r="U207" s="4" t="str">
        <f t="shared" si="30"/>
        <v>Late_Delivery</v>
      </c>
      <c r="V207">
        <v>59</v>
      </c>
      <c r="W207" s="3">
        <f t="shared" si="31"/>
        <v>6</v>
      </c>
      <c r="X207" s="2">
        <v>45174</v>
      </c>
      <c r="Y207" s="1">
        <f>YEAR(Table2[[#This Row],[Delivery_Date]])</f>
        <v>2023</v>
      </c>
      <c r="Z207" s="2" t="str">
        <f t="shared" si="32"/>
        <v>Sep</v>
      </c>
      <c r="AA207" t="s">
        <v>1384</v>
      </c>
      <c r="AB207">
        <f t="shared" si="33"/>
        <v>311.38</v>
      </c>
      <c r="AC207">
        <f>Table2[[#This Row],[Price]]*Table2[[#This Row],[Quantity]]*Table2[[#This Row],[COUPON %]]/100</f>
        <v>0</v>
      </c>
      <c r="AD207">
        <f t="shared" si="34"/>
        <v>252.38</v>
      </c>
      <c r="AE207" s="1">
        <f t="shared" si="35"/>
        <v>252.38</v>
      </c>
    </row>
    <row r="208" spans="1:31" x14ac:dyDescent="0.25">
      <c r="A208" t="s">
        <v>529</v>
      </c>
      <c r="B208" t="str">
        <f t="shared" si="27"/>
        <v xml:space="preserve">Melissa Levy </v>
      </c>
      <c r="C208" t="s">
        <v>528</v>
      </c>
      <c r="D208" t="s">
        <v>527</v>
      </c>
      <c r="E208">
        <v>30</v>
      </c>
      <c r="F208" t="str">
        <f t="shared" si="28"/>
        <v>26-35</v>
      </c>
      <c r="G208" t="s">
        <v>108</v>
      </c>
      <c r="H208" t="s">
        <v>40</v>
      </c>
      <c r="I208" t="s">
        <v>526</v>
      </c>
      <c r="J208" t="str">
        <f t="shared" si="29"/>
        <v>rediffmail.com</v>
      </c>
      <c r="K208" t="s">
        <v>525</v>
      </c>
      <c r="L208" t="s">
        <v>1383</v>
      </c>
      <c r="M208" s="2">
        <v>45320</v>
      </c>
      <c r="N208" t="s">
        <v>1382</v>
      </c>
      <c r="O208" t="s">
        <v>245</v>
      </c>
      <c r="P208">
        <v>87.09</v>
      </c>
      <c r="Q208">
        <v>1</v>
      </c>
      <c r="R208" t="s">
        <v>166</v>
      </c>
      <c r="S208" s="5">
        <v>10</v>
      </c>
      <c r="T208" s="3">
        <v>1</v>
      </c>
      <c r="U208" s="4" t="str">
        <f t="shared" si="30"/>
        <v>On_time</v>
      </c>
      <c r="V208">
        <v>61</v>
      </c>
      <c r="W208" s="3">
        <f t="shared" si="31"/>
        <v>1</v>
      </c>
      <c r="X208" s="2">
        <v>45321</v>
      </c>
      <c r="Y208" s="1">
        <f>YEAR(Table2[[#This Row],[Delivery_Date]])</f>
        <v>2024</v>
      </c>
      <c r="Z208" s="2" t="str">
        <f t="shared" si="32"/>
        <v>Jan</v>
      </c>
      <c r="AA208" t="s">
        <v>1381</v>
      </c>
      <c r="AB208">
        <f t="shared" si="33"/>
        <v>139.381</v>
      </c>
      <c r="AC208">
        <f>Table2[[#This Row],[Price]]*Table2[[#This Row],[Quantity]]*Table2[[#This Row],[COUPON %]]/100</f>
        <v>8.7090000000000014</v>
      </c>
      <c r="AD208">
        <f t="shared" si="34"/>
        <v>78.381</v>
      </c>
      <c r="AE208" s="1">
        <f t="shared" si="35"/>
        <v>87.09</v>
      </c>
    </row>
    <row r="209" spans="1:31" x14ac:dyDescent="0.25">
      <c r="A209" t="s">
        <v>630</v>
      </c>
      <c r="B209" t="str">
        <f t="shared" si="27"/>
        <v xml:space="preserve">Jason Lopez </v>
      </c>
      <c r="C209" t="s">
        <v>629</v>
      </c>
      <c r="D209" t="s">
        <v>596</v>
      </c>
      <c r="E209">
        <v>40</v>
      </c>
      <c r="F209" t="str">
        <f t="shared" si="28"/>
        <v>36-45</v>
      </c>
      <c r="G209" t="s">
        <v>8</v>
      </c>
      <c r="H209" t="s">
        <v>79</v>
      </c>
      <c r="I209" t="s">
        <v>628</v>
      </c>
      <c r="J209" t="str">
        <f t="shared" si="29"/>
        <v>outlook.com</v>
      </c>
      <c r="K209" t="s">
        <v>627</v>
      </c>
      <c r="L209" t="s">
        <v>1380</v>
      </c>
      <c r="M209" s="2">
        <v>45074</v>
      </c>
      <c r="N209" t="s">
        <v>1379</v>
      </c>
      <c r="O209" t="s">
        <v>1166</v>
      </c>
      <c r="P209">
        <v>110.95</v>
      </c>
      <c r="Q209">
        <v>3</v>
      </c>
      <c r="R209" t="s">
        <v>166</v>
      </c>
      <c r="S209" s="5">
        <v>10</v>
      </c>
      <c r="T209" s="3">
        <v>6</v>
      </c>
      <c r="U209" s="4" t="str">
        <f t="shared" si="30"/>
        <v>Before_time</v>
      </c>
      <c r="V209">
        <v>65</v>
      </c>
      <c r="W209" s="3">
        <f t="shared" si="31"/>
        <v>5</v>
      </c>
      <c r="X209" s="2">
        <v>45079</v>
      </c>
      <c r="Y209" s="1">
        <f>YEAR(Table2[[#This Row],[Delivery_Date]])</f>
        <v>2023</v>
      </c>
      <c r="Z209" s="2" t="str">
        <f t="shared" si="32"/>
        <v>Jun</v>
      </c>
      <c r="AA209" t="s">
        <v>1378</v>
      </c>
      <c r="AB209">
        <f t="shared" si="33"/>
        <v>364.56500000000005</v>
      </c>
      <c r="AC209">
        <f>Table2[[#This Row],[Price]]*Table2[[#This Row],[Quantity]]*Table2[[#This Row],[COUPON %]]/100</f>
        <v>33.284999999999997</v>
      </c>
      <c r="AD209">
        <f t="shared" si="34"/>
        <v>299.56500000000005</v>
      </c>
      <c r="AE209" s="1">
        <f t="shared" si="35"/>
        <v>332.85</v>
      </c>
    </row>
    <row r="210" spans="1:31" x14ac:dyDescent="0.25">
      <c r="A210" t="s">
        <v>279</v>
      </c>
      <c r="B210" t="str">
        <f t="shared" si="27"/>
        <v xml:space="preserve">Amy Ellis </v>
      </c>
      <c r="C210" t="s">
        <v>270</v>
      </c>
      <c r="D210" t="s">
        <v>278</v>
      </c>
      <c r="E210">
        <v>44</v>
      </c>
      <c r="F210" t="str">
        <f t="shared" si="28"/>
        <v>36-45</v>
      </c>
      <c r="G210" t="s">
        <v>8</v>
      </c>
      <c r="H210" t="s">
        <v>118</v>
      </c>
      <c r="I210" t="s">
        <v>277</v>
      </c>
      <c r="J210" t="str">
        <f t="shared" si="29"/>
        <v>gmail.com</v>
      </c>
      <c r="K210" t="s">
        <v>276</v>
      </c>
      <c r="L210" t="s">
        <v>1377</v>
      </c>
      <c r="M210" s="2">
        <v>45285</v>
      </c>
      <c r="N210" t="s">
        <v>1376</v>
      </c>
      <c r="O210" t="s">
        <v>94</v>
      </c>
      <c r="P210">
        <v>33.49</v>
      </c>
      <c r="Q210">
        <v>1</v>
      </c>
      <c r="R210" t="s">
        <v>34</v>
      </c>
      <c r="S210" s="5">
        <v>8</v>
      </c>
      <c r="T210" s="3">
        <v>2</v>
      </c>
      <c r="U210" s="4" t="str">
        <f t="shared" si="30"/>
        <v>Before_time</v>
      </c>
      <c r="V210">
        <v>67</v>
      </c>
      <c r="W210" s="3">
        <f t="shared" si="31"/>
        <v>1</v>
      </c>
      <c r="X210" s="2">
        <v>45286</v>
      </c>
      <c r="Y210" s="1">
        <f>YEAR(Table2[[#This Row],[Delivery_Date]])</f>
        <v>2023</v>
      </c>
      <c r="Z210" s="2" t="str">
        <f t="shared" si="32"/>
        <v>Dec</v>
      </c>
      <c r="AA210" t="s">
        <v>1375</v>
      </c>
      <c r="AB210">
        <f t="shared" si="33"/>
        <v>97.8108</v>
      </c>
      <c r="AC210">
        <f>Table2[[#This Row],[Price]]*Table2[[#This Row],[Quantity]]*Table2[[#This Row],[COUPON %]]/100</f>
        <v>2.6792000000000002</v>
      </c>
      <c r="AD210">
        <f t="shared" si="34"/>
        <v>30.810800000000004</v>
      </c>
      <c r="AE210" s="1">
        <f t="shared" si="35"/>
        <v>33.49</v>
      </c>
    </row>
    <row r="211" spans="1:31" x14ac:dyDescent="0.25">
      <c r="A211" t="s">
        <v>21</v>
      </c>
      <c r="B211" t="str">
        <f t="shared" si="27"/>
        <v xml:space="preserve">Amanda Howard </v>
      </c>
      <c r="C211" t="s">
        <v>20</v>
      </c>
      <c r="D211" t="s">
        <v>19</v>
      </c>
      <c r="E211">
        <v>52</v>
      </c>
      <c r="F211" t="str">
        <f t="shared" si="28"/>
        <v>&gt;45</v>
      </c>
      <c r="G211" t="s">
        <v>8</v>
      </c>
      <c r="H211" t="s">
        <v>18</v>
      </c>
      <c r="I211" t="s">
        <v>17</v>
      </c>
      <c r="J211" t="str">
        <f t="shared" si="29"/>
        <v>outlook.com</v>
      </c>
      <c r="K211" t="s">
        <v>16</v>
      </c>
      <c r="L211" t="s">
        <v>1374</v>
      </c>
      <c r="M211" s="2">
        <v>45001</v>
      </c>
      <c r="N211" t="s">
        <v>1373</v>
      </c>
      <c r="O211" t="s">
        <v>494</v>
      </c>
      <c r="P211">
        <v>425.59</v>
      </c>
      <c r="Q211">
        <v>3</v>
      </c>
      <c r="R211" t="s">
        <v>34</v>
      </c>
      <c r="S211" s="5">
        <v>8</v>
      </c>
      <c r="T211" s="3">
        <v>7</v>
      </c>
      <c r="U211" s="4" t="str">
        <f t="shared" si="30"/>
        <v>Before_time</v>
      </c>
      <c r="V211">
        <v>68</v>
      </c>
      <c r="W211" s="3">
        <f t="shared" si="31"/>
        <v>4</v>
      </c>
      <c r="X211" s="2">
        <v>45005</v>
      </c>
      <c r="Y211" s="1">
        <f>YEAR(Table2[[#This Row],[Delivery_Date]])</f>
        <v>2023</v>
      </c>
      <c r="Z211" s="2" t="str">
        <f t="shared" si="32"/>
        <v>Mar</v>
      </c>
      <c r="AA211" t="s">
        <v>1372</v>
      </c>
      <c r="AB211">
        <f t="shared" si="33"/>
        <v>1242.6284000000001</v>
      </c>
      <c r="AC211">
        <f>Table2[[#This Row],[Price]]*Table2[[#This Row],[Quantity]]*Table2[[#This Row],[COUPON %]]/100</f>
        <v>102.1416</v>
      </c>
      <c r="AD211">
        <f t="shared" si="34"/>
        <v>1174.6284000000001</v>
      </c>
      <c r="AE211" s="1">
        <f t="shared" si="35"/>
        <v>1276.77</v>
      </c>
    </row>
    <row r="212" spans="1:31" x14ac:dyDescent="0.25">
      <c r="A212" t="s">
        <v>801</v>
      </c>
      <c r="B212" t="str">
        <f t="shared" si="27"/>
        <v xml:space="preserve">Mark Summers </v>
      </c>
      <c r="C212" t="s">
        <v>51</v>
      </c>
      <c r="D212" t="s">
        <v>800</v>
      </c>
      <c r="E212">
        <v>55</v>
      </c>
      <c r="F212" t="str">
        <f t="shared" si="28"/>
        <v>&gt;45</v>
      </c>
      <c r="G212" t="s">
        <v>29</v>
      </c>
      <c r="H212" t="s">
        <v>40</v>
      </c>
      <c r="I212" t="s">
        <v>799</v>
      </c>
      <c r="J212" t="str">
        <f t="shared" si="29"/>
        <v>outlook.com</v>
      </c>
      <c r="K212" t="s">
        <v>798</v>
      </c>
      <c r="L212" t="s">
        <v>1371</v>
      </c>
      <c r="M212" s="2">
        <v>45039</v>
      </c>
      <c r="N212" t="s">
        <v>1370</v>
      </c>
      <c r="O212" t="s">
        <v>113</v>
      </c>
      <c r="P212">
        <v>441.03</v>
      </c>
      <c r="Q212">
        <v>5</v>
      </c>
      <c r="R212" t="s">
        <v>93</v>
      </c>
      <c r="S212" s="5">
        <v>15</v>
      </c>
      <c r="T212" s="3">
        <v>3</v>
      </c>
      <c r="U212" s="4" t="str">
        <f t="shared" si="30"/>
        <v>Late_Delivery</v>
      </c>
      <c r="V212">
        <v>37</v>
      </c>
      <c r="W212" s="3">
        <f t="shared" si="31"/>
        <v>5</v>
      </c>
      <c r="X212" s="2">
        <v>45044</v>
      </c>
      <c r="Y212" s="1">
        <f>YEAR(Table2[[#This Row],[Delivery_Date]])</f>
        <v>2023</v>
      </c>
      <c r="Z212" s="2" t="str">
        <f t="shared" si="32"/>
        <v>Apr</v>
      </c>
      <c r="AA212" t="s">
        <v>1369</v>
      </c>
      <c r="AB212">
        <f t="shared" si="33"/>
        <v>1911.3774999999996</v>
      </c>
      <c r="AC212">
        <f>Table2[[#This Row],[Price]]*Table2[[#This Row],[Quantity]]*Table2[[#This Row],[COUPON %]]/100</f>
        <v>330.77249999999992</v>
      </c>
      <c r="AD212">
        <f t="shared" si="34"/>
        <v>1874.3774999999996</v>
      </c>
      <c r="AE212" s="1">
        <f t="shared" si="35"/>
        <v>2205.1499999999996</v>
      </c>
    </row>
    <row r="213" spans="1:31" x14ac:dyDescent="0.25">
      <c r="A213" t="s">
        <v>1368</v>
      </c>
      <c r="B213" t="str">
        <f t="shared" si="27"/>
        <v xml:space="preserve">Jason Nguyen </v>
      </c>
      <c r="C213" t="s">
        <v>629</v>
      </c>
      <c r="D213" t="s">
        <v>1367</v>
      </c>
      <c r="E213">
        <v>51</v>
      </c>
      <c r="F213" t="str">
        <f t="shared" si="28"/>
        <v>&gt;45</v>
      </c>
      <c r="G213" t="s">
        <v>8</v>
      </c>
      <c r="H213" t="s">
        <v>59</v>
      </c>
      <c r="I213" t="s">
        <v>1366</v>
      </c>
      <c r="J213" t="str">
        <f t="shared" si="29"/>
        <v>yahoo.com</v>
      </c>
      <c r="K213" t="s">
        <v>1365</v>
      </c>
      <c r="L213" t="s">
        <v>1364</v>
      </c>
      <c r="M213" s="2">
        <v>45339</v>
      </c>
      <c r="N213" t="s">
        <v>1363</v>
      </c>
      <c r="O213" t="s">
        <v>74</v>
      </c>
      <c r="P213">
        <v>129.75</v>
      </c>
      <c r="Q213">
        <v>3</v>
      </c>
      <c r="R213" t="s">
        <v>93</v>
      </c>
      <c r="S213" s="5">
        <v>15</v>
      </c>
      <c r="T213" s="3">
        <v>5</v>
      </c>
      <c r="U213" s="4" t="str">
        <f t="shared" si="30"/>
        <v>Before_time</v>
      </c>
      <c r="V213">
        <v>37</v>
      </c>
      <c r="W213" s="3">
        <f t="shared" si="31"/>
        <v>2</v>
      </c>
      <c r="X213" s="2">
        <v>45341</v>
      </c>
      <c r="Y213" s="1">
        <f>YEAR(Table2[[#This Row],[Delivery_Date]])</f>
        <v>2024</v>
      </c>
      <c r="Z213" s="2" t="str">
        <f t="shared" si="32"/>
        <v>Feb</v>
      </c>
      <c r="AA213" t="s">
        <v>1362</v>
      </c>
      <c r="AB213">
        <f t="shared" si="33"/>
        <v>367.86250000000001</v>
      </c>
      <c r="AC213">
        <f>Table2[[#This Row],[Price]]*Table2[[#This Row],[Quantity]]*Table2[[#This Row],[COUPON %]]/100</f>
        <v>58.387500000000003</v>
      </c>
      <c r="AD213">
        <f t="shared" si="34"/>
        <v>330.86250000000001</v>
      </c>
      <c r="AE213" s="1">
        <f t="shared" si="35"/>
        <v>389.25</v>
      </c>
    </row>
    <row r="214" spans="1:31" x14ac:dyDescent="0.25">
      <c r="A214" t="s">
        <v>1052</v>
      </c>
      <c r="B214" t="str">
        <f t="shared" si="27"/>
        <v xml:space="preserve">Gary Huff </v>
      </c>
      <c r="C214" t="s">
        <v>393</v>
      </c>
      <c r="D214" t="s">
        <v>1051</v>
      </c>
      <c r="E214">
        <v>18</v>
      </c>
      <c r="F214" t="str">
        <f t="shared" si="28"/>
        <v>0-25</v>
      </c>
      <c r="G214" t="s">
        <v>108</v>
      </c>
      <c r="H214" t="s">
        <v>28</v>
      </c>
      <c r="I214" t="s">
        <v>1050</v>
      </c>
      <c r="J214" t="str">
        <f t="shared" si="29"/>
        <v>gmail.com</v>
      </c>
      <c r="K214" t="s">
        <v>1049</v>
      </c>
      <c r="L214" t="s">
        <v>1361</v>
      </c>
      <c r="M214" s="2">
        <v>45349</v>
      </c>
      <c r="N214" t="s">
        <v>1360</v>
      </c>
      <c r="O214" t="s">
        <v>299</v>
      </c>
      <c r="P214">
        <v>235.63</v>
      </c>
      <c r="Q214">
        <v>1</v>
      </c>
      <c r="R214" t="s">
        <v>34</v>
      </c>
      <c r="S214" s="5">
        <v>8</v>
      </c>
      <c r="T214" s="3">
        <v>6</v>
      </c>
      <c r="U214" s="4" t="str">
        <f t="shared" si="30"/>
        <v>Before_time</v>
      </c>
      <c r="V214">
        <v>58</v>
      </c>
      <c r="W214" s="3">
        <f t="shared" si="31"/>
        <v>5</v>
      </c>
      <c r="X214" s="2">
        <v>45354</v>
      </c>
      <c r="Y214" s="1">
        <f>YEAR(Table2[[#This Row],[Delivery_Date]])</f>
        <v>2024</v>
      </c>
      <c r="Z214" s="2" t="str">
        <f t="shared" si="32"/>
        <v>Mar</v>
      </c>
      <c r="AA214" t="s">
        <v>1359</v>
      </c>
      <c r="AB214">
        <f t="shared" si="33"/>
        <v>274.77960000000002</v>
      </c>
      <c r="AC214">
        <f>Table2[[#This Row],[Price]]*Table2[[#This Row],[Quantity]]*Table2[[#This Row],[COUPON %]]/100</f>
        <v>18.8504</v>
      </c>
      <c r="AD214">
        <f t="shared" si="34"/>
        <v>216.77960000000002</v>
      </c>
      <c r="AE214" s="1">
        <f t="shared" si="35"/>
        <v>235.63</v>
      </c>
    </row>
    <row r="215" spans="1:31" x14ac:dyDescent="0.25">
      <c r="A215" t="s">
        <v>72</v>
      </c>
      <c r="B215" t="str">
        <f t="shared" si="27"/>
        <v xml:space="preserve">Gina Moreno </v>
      </c>
      <c r="C215" t="s">
        <v>71</v>
      </c>
      <c r="D215" t="s">
        <v>70</v>
      </c>
      <c r="E215">
        <v>36</v>
      </c>
      <c r="F215" t="str">
        <f t="shared" si="28"/>
        <v>36-45</v>
      </c>
      <c r="G215" t="s">
        <v>8</v>
      </c>
      <c r="H215" t="s">
        <v>59</v>
      </c>
      <c r="I215" t="s">
        <v>69</v>
      </c>
      <c r="J215" t="str">
        <f t="shared" si="29"/>
        <v>rediffmail.com</v>
      </c>
      <c r="K215" t="s">
        <v>68</v>
      </c>
      <c r="L215" t="s">
        <v>1358</v>
      </c>
      <c r="M215" s="2">
        <v>45549</v>
      </c>
      <c r="N215" t="s">
        <v>1357</v>
      </c>
      <c r="O215" t="s">
        <v>519</v>
      </c>
      <c r="P215">
        <v>136.30000000000001</v>
      </c>
      <c r="Q215">
        <v>2</v>
      </c>
      <c r="R215" t="s">
        <v>64</v>
      </c>
      <c r="S215" s="5">
        <v>20</v>
      </c>
      <c r="T215" s="3">
        <v>7</v>
      </c>
      <c r="U215" s="4" t="str">
        <f t="shared" si="30"/>
        <v>Before_time</v>
      </c>
      <c r="V215">
        <v>51</v>
      </c>
      <c r="W215" s="3">
        <f t="shared" si="31"/>
        <v>1</v>
      </c>
      <c r="X215" s="2">
        <v>45550</v>
      </c>
      <c r="Y215" s="1">
        <f>YEAR(Table2[[#This Row],[Delivery_Date]])</f>
        <v>2024</v>
      </c>
      <c r="Z215" s="2" t="str">
        <f t="shared" si="32"/>
        <v>Sep</v>
      </c>
      <c r="AA215" t="s">
        <v>1356</v>
      </c>
      <c r="AB215">
        <f t="shared" si="33"/>
        <v>269.08000000000004</v>
      </c>
      <c r="AC215">
        <f>Table2[[#This Row],[Price]]*Table2[[#This Row],[Quantity]]*Table2[[#This Row],[COUPON %]]/100</f>
        <v>54.52</v>
      </c>
      <c r="AD215">
        <f t="shared" si="34"/>
        <v>218.08000000000004</v>
      </c>
      <c r="AE215" s="1">
        <f t="shared" si="35"/>
        <v>272.60000000000002</v>
      </c>
    </row>
    <row r="216" spans="1:31" x14ac:dyDescent="0.25">
      <c r="A216" t="s">
        <v>91</v>
      </c>
      <c r="B216" t="str">
        <f t="shared" si="27"/>
        <v xml:space="preserve">Brittany Stewart </v>
      </c>
      <c r="C216" t="s">
        <v>90</v>
      </c>
      <c r="D216" t="s">
        <v>89</v>
      </c>
      <c r="E216">
        <v>68</v>
      </c>
      <c r="F216" t="str">
        <f t="shared" si="28"/>
        <v>&gt;45</v>
      </c>
      <c r="G216" t="s">
        <v>8</v>
      </c>
      <c r="H216" t="s">
        <v>18</v>
      </c>
      <c r="I216" t="s">
        <v>88</v>
      </c>
      <c r="J216" t="str">
        <f t="shared" si="29"/>
        <v>gmail.com</v>
      </c>
      <c r="K216" t="s">
        <v>87</v>
      </c>
      <c r="L216" t="s">
        <v>1355</v>
      </c>
      <c r="M216" s="2">
        <v>45112</v>
      </c>
      <c r="N216" t="s">
        <v>1354</v>
      </c>
      <c r="O216" t="s">
        <v>123</v>
      </c>
      <c r="P216">
        <v>107.47</v>
      </c>
      <c r="Q216">
        <v>4</v>
      </c>
      <c r="R216" t="s">
        <v>64</v>
      </c>
      <c r="S216" s="5">
        <v>20</v>
      </c>
      <c r="T216" s="3">
        <v>5</v>
      </c>
      <c r="U216" s="4" t="str">
        <f t="shared" si="30"/>
        <v>Before_time</v>
      </c>
      <c r="V216">
        <v>51</v>
      </c>
      <c r="W216" s="3">
        <f t="shared" si="31"/>
        <v>3</v>
      </c>
      <c r="X216" s="2">
        <v>45115</v>
      </c>
      <c r="Y216" s="1">
        <f>YEAR(Table2[[#This Row],[Delivery_Date]])</f>
        <v>2023</v>
      </c>
      <c r="Z216" s="2" t="str">
        <f t="shared" si="32"/>
        <v>Jul</v>
      </c>
      <c r="AA216" t="s">
        <v>1353</v>
      </c>
      <c r="AB216">
        <f t="shared" si="33"/>
        <v>394.904</v>
      </c>
      <c r="AC216">
        <f>Table2[[#This Row],[Price]]*Table2[[#This Row],[Quantity]]*Table2[[#This Row],[COUPON %]]/100</f>
        <v>85.975999999999999</v>
      </c>
      <c r="AD216">
        <f t="shared" si="34"/>
        <v>343.904</v>
      </c>
      <c r="AE216" s="1">
        <f t="shared" si="35"/>
        <v>429.88</v>
      </c>
    </row>
    <row r="217" spans="1:31" x14ac:dyDescent="0.25">
      <c r="A217" t="s">
        <v>727</v>
      </c>
      <c r="B217" t="str">
        <f t="shared" si="27"/>
        <v xml:space="preserve">Rachael Robinson </v>
      </c>
      <c r="C217" t="s">
        <v>726</v>
      </c>
      <c r="D217" t="s">
        <v>725</v>
      </c>
      <c r="E217">
        <v>24</v>
      </c>
      <c r="F217" t="str">
        <f t="shared" si="28"/>
        <v>0-25</v>
      </c>
      <c r="G217" t="s">
        <v>8</v>
      </c>
      <c r="H217" t="s">
        <v>18</v>
      </c>
      <c r="I217" t="s">
        <v>724</v>
      </c>
      <c r="J217" t="str">
        <f t="shared" si="29"/>
        <v>rediffmail.com</v>
      </c>
      <c r="K217" t="s">
        <v>723</v>
      </c>
      <c r="L217" t="s">
        <v>1352</v>
      </c>
      <c r="M217" s="2">
        <v>45271</v>
      </c>
      <c r="N217" t="s">
        <v>1351</v>
      </c>
      <c r="O217" t="s">
        <v>729</v>
      </c>
      <c r="P217">
        <v>275.44</v>
      </c>
      <c r="Q217">
        <v>2</v>
      </c>
      <c r="R217" t="s">
        <v>34</v>
      </c>
      <c r="S217" s="5">
        <v>8</v>
      </c>
      <c r="T217" s="3">
        <v>2</v>
      </c>
      <c r="U217" s="4" t="str">
        <f t="shared" si="30"/>
        <v>Late_Delivery</v>
      </c>
      <c r="V217">
        <v>36</v>
      </c>
      <c r="W217" s="3">
        <f t="shared" si="31"/>
        <v>5</v>
      </c>
      <c r="X217" s="2">
        <v>45276</v>
      </c>
      <c r="Y217" s="1">
        <f>YEAR(Table2[[#This Row],[Delivery_Date]])</f>
        <v>2023</v>
      </c>
      <c r="Z217" s="2" t="str">
        <f t="shared" si="32"/>
        <v>Dec</v>
      </c>
      <c r="AA217" t="s">
        <v>1350</v>
      </c>
      <c r="AB217">
        <f t="shared" si="33"/>
        <v>542.80960000000005</v>
      </c>
      <c r="AC217">
        <f>Table2[[#This Row],[Price]]*Table2[[#This Row],[Quantity]]*Table2[[#This Row],[COUPON %]]/100</f>
        <v>44.070399999999999</v>
      </c>
      <c r="AD217">
        <f t="shared" si="34"/>
        <v>506.80960000000005</v>
      </c>
      <c r="AE217" s="1">
        <f t="shared" si="35"/>
        <v>550.88</v>
      </c>
    </row>
    <row r="218" spans="1:31" x14ac:dyDescent="0.25">
      <c r="A218" t="s">
        <v>1264</v>
      </c>
      <c r="B218" t="str">
        <f t="shared" si="27"/>
        <v xml:space="preserve">Lindsey Byrd </v>
      </c>
      <c r="C218" t="s">
        <v>1263</v>
      </c>
      <c r="D218" t="s">
        <v>1262</v>
      </c>
      <c r="E218">
        <v>32</v>
      </c>
      <c r="F218" t="str">
        <f t="shared" si="28"/>
        <v>26-35</v>
      </c>
      <c r="G218" t="s">
        <v>108</v>
      </c>
      <c r="H218" t="s">
        <v>40</v>
      </c>
      <c r="I218" t="s">
        <v>1261</v>
      </c>
      <c r="J218" t="str">
        <f t="shared" si="29"/>
        <v>rediffmail.com</v>
      </c>
      <c r="K218" t="s">
        <v>1260</v>
      </c>
      <c r="L218" t="s">
        <v>1349</v>
      </c>
      <c r="M218" s="2">
        <v>45588</v>
      </c>
      <c r="N218" t="s">
        <v>1348</v>
      </c>
      <c r="O218" t="s">
        <v>123</v>
      </c>
      <c r="P218">
        <v>107.47</v>
      </c>
      <c r="Q218">
        <v>2</v>
      </c>
      <c r="R218" t="s">
        <v>93</v>
      </c>
      <c r="S218" s="5">
        <v>15</v>
      </c>
      <c r="T218" s="3">
        <v>5</v>
      </c>
      <c r="U218" s="4" t="str">
        <f t="shared" si="30"/>
        <v>Before_time</v>
      </c>
      <c r="V218">
        <v>55</v>
      </c>
      <c r="W218" s="3">
        <f t="shared" si="31"/>
        <v>4</v>
      </c>
      <c r="X218" s="2">
        <v>45592</v>
      </c>
      <c r="Y218" s="1">
        <f>YEAR(Table2[[#This Row],[Delivery_Date]])</f>
        <v>2024</v>
      </c>
      <c r="Z218" s="2" t="str">
        <f t="shared" si="32"/>
        <v>Oct</v>
      </c>
      <c r="AA218" t="s">
        <v>1347</v>
      </c>
      <c r="AB218">
        <f t="shared" si="33"/>
        <v>237.69899999999998</v>
      </c>
      <c r="AC218">
        <f>Table2[[#This Row],[Price]]*Table2[[#This Row],[Quantity]]*Table2[[#This Row],[COUPON %]]/100</f>
        <v>32.241</v>
      </c>
      <c r="AD218">
        <f t="shared" si="34"/>
        <v>182.69899999999998</v>
      </c>
      <c r="AE218" s="1">
        <f t="shared" si="35"/>
        <v>214.94</v>
      </c>
    </row>
    <row r="219" spans="1:31" x14ac:dyDescent="0.25">
      <c r="A219" t="s">
        <v>262</v>
      </c>
      <c r="B219" t="str">
        <f t="shared" si="27"/>
        <v xml:space="preserve">Angela Horne </v>
      </c>
      <c r="C219" t="s">
        <v>10</v>
      </c>
      <c r="D219" t="s">
        <v>261</v>
      </c>
      <c r="E219">
        <v>49</v>
      </c>
      <c r="F219" t="str">
        <f t="shared" si="28"/>
        <v>&gt;45</v>
      </c>
      <c r="G219" t="s">
        <v>8</v>
      </c>
      <c r="H219" t="s">
        <v>107</v>
      </c>
      <c r="I219" t="s">
        <v>260</v>
      </c>
      <c r="J219" t="str">
        <f t="shared" si="29"/>
        <v>outlook.com</v>
      </c>
      <c r="K219" t="s">
        <v>259</v>
      </c>
      <c r="L219" t="s">
        <v>1346</v>
      </c>
      <c r="M219" s="2">
        <v>45578</v>
      </c>
      <c r="N219" t="s">
        <v>1345</v>
      </c>
      <c r="O219" t="s">
        <v>190</v>
      </c>
      <c r="P219">
        <v>158.53</v>
      </c>
      <c r="Q219">
        <v>5</v>
      </c>
      <c r="R219" t="s">
        <v>34</v>
      </c>
      <c r="S219" s="5">
        <v>8</v>
      </c>
      <c r="T219" s="3">
        <v>2</v>
      </c>
      <c r="U219" s="4" t="str">
        <f t="shared" si="30"/>
        <v>Late_Delivery</v>
      </c>
      <c r="V219">
        <v>64</v>
      </c>
      <c r="W219" s="3">
        <f t="shared" si="31"/>
        <v>4</v>
      </c>
      <c r="X219" s="2">
        <v>45582</v>
      </c>
      <c r="Y219" s="1">
        <f>YEAR(Table2[[#This Row],[Delivery_Date]])</f>
        <v>2024</v>
      </c>
      <c r="Z219" s="2" t="str">
        <f t="shared" si="32"/>
        <v>Oct</v>
      </c>
      <c r="AA219" t="s">
        <v>1344</v>
      </c>
      <c r="AB219">
        <f t="shared" si="33"/>
        <v>793.23800000000006</v>
      </c>
      <c r="AC219">
        <f>Table2[[#This Row],[Price]]*Table2[[#This Row],[Quantity]]*Table2[[#This Row],[COUPON %]]/100</f>
        <v>63.411999999999999</v>
      </c>
      <c r="AD219">
        <f t="shared" si="34"/>
        <v>729.23800000000006</v>
      </c>
      <c r="AE219" s="1">
        <f t="shared" si="35"/>
        <v>792.65</v>
      </c>
    </row>
    <row r="220" spans="1:31" x14ac:dyDescent="0.25">
      <c r="A220" t="s">
        <v>838</v>
      </c>
      <c r="B220" t="str">
        <f t="shared" si="27"/>
        <v xml:space="preserve">Christian Clayton </v>
      </c>
      <c r="C220" t="s">
        <v>837</v>
      </c>
      <c r="D220" t="s">
        <v>836</v>
      </c>
      <c r="E220">
        <v>39</v>
      </c>
      <c r="F220" t="str">
        <f t="shared" si="28"/>
        <v>36-45</v>
      </c>
      <c r="G220" t="s">
        <v>29</v>
      </c>
      <c r="H220" t="s">
        <v>40</v>
      </c>
      <c r="I220" t="s">
        <v>835</v>
      </c>
      <c r="J220" t="str">
        <f t="shared" si="29"/>
        <v>yahoo.com</v>
      </c>
      <c r="K220" t="s">
        <v>834</v>
      </c>
      <c r="L220" t="s">
        <v>1343</v>
      </c>
      <c r="M220" s="2">
        <v>45541</v>
      </c>
      <c r="N220" t="s">
        <v>1342</v>
      </c>
      <c r="O220" t="s">
        <v>457</v>
      </c>
      <c r="P220">
        <v>363.64</v>
      </c>
      <c r="Q220">
        <v>2</v>
      </c>
      <c r="R220" t="s">
        <v>64</v>
      </c>
      <c r="S220" s="5">
        <v>20</v>
      </c>
      <c r="T220" s="3">
        <v>6</v>
      </c>
      <c r="U220" s="4" t="str">
        <f t="shared" si="30"/>
        <v>Before_time</v>
      </c>
      <c r="V220">
        <v>37</v>
      </c>
      <c r="W220" s="3">
        <f t="shared" si="31"/>
        <v>3</v>
      </c>
      <c r="X220" s="2">
        <v>45544</v>
      </c>
      <c r="Y220" s="1">
        <f>YEAR(Table2[[#This Row],[Delivery_Date]])</f>
        <v>2024</v>
      </c>
      <c r="Z220" s="2" t="str">
        <f t="shared" si="32"/>
        <v>Sep</v>
      </c>
      <c r="AA220" t="s">
        <v>1341</v>
      </c>
      <c r="AB220">
        <f t="shared" si="33"/>
        <v>618.82399999999996</v>
      </c>
      <c r="AC220">
        <f>Table2[[#This Row],[Price]]*Table2[[#This Row],[Quantity]]*Table2[[#This Row],[COUPON %]]/100</f>
        <v>145.45599999999999</v>
      </c>
      <c r="AD220">
        <f t="shared" si="34"/>
        <v>581.82399999999996</v>
      </c>
      <c r="AE220" s="1">
        <f t="shared" si="35"/>
        <v>727.28</v>
      </c>
    </row>
    <row r="221" spans="1:31" x14ac:dyDescent="0.25">
      <c r="A221" t="s">
        <v>745</v>
      </c>
      <c r="B221" t="str">
        <f t="shared" si="27"/>
        <v xml:space="preserve">Julie Meyer </v>
      </c>
      <c r="C221" t="s">
        <v>744</v>
      </c>
      <c r="D221" t="s">
        <v>743</v>
      </c>
      <c r="E221">
        <v>23</v>
      </c>
      <c r="F221" t="str">
        <f t="shared" si="28"/>
        <v>0-25</v>
      </c>
      <c r="G221" t="s">
        <v>108</v>
      </c>
      <c r="H221" t="s">
        <v>107</v>
      </c>
      <c r="I221" t="s">
        <v>742</v>
      </c>
      <c r="J221" t="str">
        <f t="shared" si="29"/>
        <v>yahoo.com</v>
      </c>
      <c r="K221" t="s">
        <v>741</v>
      </c>
      <c r="L221" t="s">
        <v>1340</v>
      </c>
      <c r="M221" s="2">
        <v>45504</v>
      </c>
      <c r="N221" t="s">
        <v>1339</v>
      </c>
      <c r="O221" t="s">
        <v>519</v>
      </c>
      <c r="P221">
        <v>136.30000000000001</v>
      </c>
      <c r="Q221">
        <v>2</v>
      </c>
      <c r="R221" t="s">
        <v>166</v>
      </c>
      <c r="S221" s="5">
        <v>10</v>
      </c>
      <c r="T221" s="3">
        <v>3</v>
      </c>
      <c r="U221" s="4" t="str">
        <f t="shared" si="30"/>
        <v>Late_Delivery</v>
      </c>
      <c r="V221">
        <v>47</v>
      </c>
      <c r="W221" s="3">
        <f t="shared" si="31"/>
        <v>7</v>
      </c>
      <c r="X221" s="2">
        <v>45511</v>
      </c>
      <c r="Y221" s="1">
        <f>YEAR(Table2[[#This Row],[Delivery_Date]])</f>
        <v>2024</v>
      </c>
      <c r="Z221" s="2" t="str">
        <f t="shared" si="32"/>
        <v>Aug</v>
      </c>
      <c r="AA221" t="s">
        <v>1338</v>
      </c>
      <c r="AB221">
        <f t="shared" si="33"/>
        <v>292.34000000000003</v>
      </c>
      <c r="AC221">
        <f>Table2[[#This Row],[Price]]*Table2[[#This Row],[Quantity]]*Table2[[#This Row],[COUPON %]]/100</f>
        <v>27.26</v>
      </c>
      <c r="AD221">
        <f t="shared" si="34"/>
        <v>245.34000000000003</v>
      </c>
      <c r="AE221" s="1">
        <f t="shared" si="35"/>
        <v>272.60000000000002</v>
      </c>
    </row>
    <row r="222" spans="1:31" x14ac:dyDescent="0.25">
      <c r="A222" t="s">
        <v>801</v>
      </c>
      <c r="B222" t="str">
        <f t="shared" si="27"/>
        <v xml:space="preserve">Mark Summers </v>
      </c>
      <c r="C222" t="s">
        <v>51</v>
      </c>
      <c r="D222" t="s">
        <v>800</v>
      </c>
      <c r="E222">
        <v>55</v>
      </c>
      <c r="F222" t="str">
        <f t="shared" si="28"/>
        <v>&gt;45</v>
      </c>
      <c r="G222" t="s">
        <v>29</v>
      </c>
      <c r="H222" t="s">
        <v>40</v>
      </c>
      <c r="I222" t="s">
        <v>799</v>
      </c>
      <c r="J222" t="str">
        <f t="shared" si="29"/>
        <v>outlook.com</v>
      </c>
      <c r="K222" t="s">
        <v>798</v>
      </c>
      <c r="L222" t="s">
        <v>1337</v>
      </c>
      <c r="M222" s="2">
        <v>45408</v>
      </c>
      <c r="N222" t="s">
        <v>1336</v>
      </c>
      <c r="O222" t="s">
        <v>426</v>
      </c>
      <c r="P222">
        <v>369.03</v>
      </c>
      <c r="Q222">
        <v>3</v>
      </c>
      <c r="R222" t="s">
        <v>64</v>
      </c>
      <c r="S222" s="5">
        <v>20</v>
      </c>
      <c r="T222" s="3">
        <v>2</v>
      </c>
      <c r="U222" s="4" t="str">
        <f t="shared" si="30"/>
        <v>Late_Delivery</v>
      </c>
      <c r="V222">
        <v>65</v>
      </c>
      <c r="W222" s="3">
        <f t="shared" si="31"/>
        <v>4</v>
      </c>
      <c r="X222" s="2">
        <v>45412</v>
      </c>
      <c r="Y222" s="1">
        <f>YEAR(Table2[[#This Row],[Delivery_Date]])</f>
        <v>2024</v>
      </c>
      <c r="Z222" s="2" t="str">
        <f t="shared" si="32"/>
        <v>Apr</v>
      </c>
      <c r="AA222" t="s">
        <v>1335</v>
      </c>
      <c r="AB222">
        <f t="shared" si="33"/>
        <v>950.67200000000003</v>
      </c>
      <c r="AC222">
        <f>Table2[[#This Row],[Price]]*Table2[[#This Row],[Quantity]]*Table2[[#This Row],[COUPON %]]/100</f>
        <v>221.41800000000001</v>
      </c>
      <c r="AD222">
        <f t="shared" si="34"/>
        <v>885.67200000000003</v>
      </c>
      <c r="AE222" s="1">
        <f t="shared" si="35"/>
        <v>1107.0899999999999</v>
      </c>
    </row>
    <row r="223" spans="1:31" x14ac:dyDescent="0.25">
      <c r="A223" t="s">
        <v>1334</v>
      </c>
      <c r="B223" t="str">
        <f t="shared" si="27"/>
        <v xml:space="preserve">Taylor Davis </v>
      </c>
      <c r="C223" t="s">
        <v>1333</v>
      </c>
      <c r="D223" t="s">
        <v>1332</v>
      </c>
      <c r="E223">
        <v>54</v>
      </c>
      <c r="F223" t="str">
        <f t="shared" si="28"/>
        <v>&gt;45</v>
      </c>
      <c r="G223" t="s">
        <v>29</v>
      </c>
      <c r="H223" t="s">
        <v>107</v>
      </c>
      <c r="I223" t="s">
        <v>1331</v>
      </c>
      <c r="J223" t="str">
        <f t="shared" si="29"/>
        <v>yahoo.com</v>
      </c>
      <c r="K223" t="s">
        <v>1330</v>
      </c>
      <c r="L223" t="s">
        <v>1329</v>
      </c>
      <c r="M223" s="2">
        <v>45105</v>
      </c>
      <c r="N223" t="s">
        <v>1328</v>
      </c>
      <c r="O223" t="s">
        <v>312</v>
      </c>
      <c r="P223">
        <v>381.73</v>
      </c>
      <c r="Q223">
        <v>2</v>
      </c>
      <c r="R223" t="s">
        <v>93</v>
      </c>
      <c r="S223" s="5">
        <v>15</v>
      </c>
      <c r="T223" s="3">
        <v>3</v>
      </c>
      <c r="U223" s="4" t="str">
        <f t="shared" si="30"/>
        <v>Late_Delivery</v>
      </c>
      <c r="V223">
        <v>70</v>
      </c>
      <c r="W223" s="3">
        <f t="shared" si="31"/>
        <v>7</v>
      </c>
      <c r="X223" s="2">
        <v>45112</v>
      </c>
      <c r="Y223" s="1">
        <f>YEAR(Table2[[#This Row],[Delivery_Date]])</f>
        <v>2023</v>
      </c>
      <c r="Z223" s="2" t="str">
        <f t="shared" si="32"/>
        <v>Jul</v>
      </c>
      <c r="AA223" t="s">
        <v>1327</v>
      </c>
      <c r="AB223">
        <f t="shared" si="33"/>
        <v>718.94100000000003</v>
      </c>
      <c r="AC223">
        <f>Table2[[#This Row],[Price]]*Table2[[#This Row],[Quantity]]*Table2[[#This Row],[COUPON %]]/100</f>
        <v>114.51900000000002</v>
      </c>
      <c r="AD223">
        <f t="shared" si="34"/>
        <v>648.94100000000003</v>
      </c>
      <c r="AE223" s="1">
        <f t="shared" si="35"/>
        <v>763.46</v>
      </c>
    </row>
    <row r="224" spans="1:31" x14ac:dyDescent="0.25">
      <c r="A224" t="s">
        <v>218</v>
      </c>
      <c r="B224" t="str">
        <f t="shared" si="27"/>
        <v xml:space="preserve">Beth Mason </v>
      </c>
      <c r="C224" t="s">
        <v>217</v>
      </c>
      <c r="D224" t="s">
        <v>216</v>
      </c>
      <c r="E224">
        <v>45</v>
      </c>
      <c r="F224" t="str">
        <f t="shared" si="28"/>
        <v>36-45</v>
      </c>
      <c r="G224" t="s">
        <v>8</v>
      </c>
      <c r="H224" t="s">
        <v>118</v>
      </c>
      <c r="I224" t="s">
        <v>215</v>
      </c>
      <c r="J224" t="str">
        <f t="shared" si="29"/>
        <v>outlook.com</v>
      </c>
      <c r="K224" t="s">
        <v>214</v>
      </c>
      <c r="L224" t="s">
        <v>1326</v>
      </c>
      <c r="M224" s="2">
        <v>45677</v>
      </c>
      <c r="N224" t="s">
        <v>1325</v>
      </c>
      <c r="O224" t="s">
        <v>667</v>
      </c>
      <c r="P224">
        <v>421.7</v>
      </c>
      <c r="Q224">
        <v>3</v>
      </c>
      <c r="R224" t="s">
        <v>166</v>
      </c>
      <c r="S224" s="5">
        <v>10</v>
      </c>
      <c r="T224" s="3">
        <v>6</v>
      </c>
      <c r="U224" s="4" t="str">
        <f t="shared" si="30"/>
        <v>Before_time</v>
      </c>
      <c r="V224">
        <v>38</v>
      </c>
      <c r="W224" s="3">
        <f t="shared" si="31"/>
        <v>3</v>
      </c>
      <c r="X224" s="2">
        <v>45680</v>
      </c>
      <c r="Y224" s="1">
        <f>YEAR(Table2[[#This Row],[Delivery_Date]])</f>
        <v>2025</v>
      </c>
      <c r="Z224" s="2" t="str">
        <f t="shared" si="32"/>
        <v>Jan</v>
      </c>
      <c r="AA224" t="s">
        <v>1324</v>
      </c>
      <c r="AB224">
        <f t="shared" si="33"/>
        <v>1176.5899999999999</v>
      </c>
      <c r="AC224">
        <f>Table2[[#This Row],[Price]]*Table2[[#This Row],[Quantity]]*Table2[[#This Row],[COUPON %]]/100</f>
        <v>126.51</v>
      </c>
      <c r="AD224">
        <f t="shared" si="34"/>
        <v>1138.5899999999999</v>
      </c>
      <c r="AE224" s="1">
        <f t="shared" si="35"/>
        <v>1265.0999999999999</v>
      </c>
    </row>
    <row r="225" spans="1:31" x14ac:dyDescent="0.25">
      <c r="A225" t="s">
        <v>801</v>
      </c>
      <c r="B225" t="str">
        <f t="shared" si="27"/>
        <v xml:space="preserve">Mark Summers </v>
      </c>
      <c r="C225" t="s">
        <v>51</v>
      </c>
      <c r="D225" t="s">
        <v>800</v>
      </c>
      <c r="E225">
        <v>55</v>
      </c>
      <c r="F225" t="str">
        <f t="shared" si="28"/>
        <v>&gt;45</v>
      </c>
      <c r="G225" t="s">
        <v>29</v>
      </c>
      <c r="H225" t="s">
        <v>40</v>
      </c>
      <c r="I225" t="s">
        <v>799</v>
      </c>
      <c r="J225" t="str">
        <f t="shared" si="29"/>
        <v>outlook.com</v>
      </c>
      <c r="K225" t="s">
        <v>798</v>
      </c>
      <c r="L225" t="s">
        <v>1323</v>
      </c>
      <c r="M225" s="2">
        <v>45186</v>
      </c>
      <c r="N225" t="s">
        <v>1322</v>
      </c>
      <c r="O225" t="s">
        <v>361</v>
      </c>
      <c r="P225">
        <v>330.11</v>
      </c>
      <c r="Q225">
        <v>3</v>
      </c>
      <c r="R225" t="s">
        <v>34</v>
      </c>
      <c r="S225" s="5">
        <v>8</v>
      </c>
      <c r="T225" s="3">
        <v>2</v>
      </c>
      <c r="U225" s="4" t="str">
        <f t="shared" si="30"/>
        <v>Late_Delivery</v>
      </c>
      <c r="V225">
        <v>40</v>
      </c>
      <c r="W225" s="3">
        <f t="shared" si="31"/>
        <v>5</v>
      </c>
      <c r="X225" s="2">
        <v>45191</v>
      </c>
      <c r="Y225" s="1">
        <f>YEAR(Table2[[#This Row],[Delivery_Date]])</f>
        <v>2023</v>
      </c>
      <c r="Z225" s="2" t="str">
        <f t="shared" si="32"/>
        <v>Sep</v>
      </c>
      <c r="AA225" t="s">
        <v>1321</v>
      </c>
      <c r="AB225">
        <f t="shared" si="33"/>
        <v>951.10360000000003</v>
      </c>
      <c r="AC225">
        <f>Table2[[#This Row],[Price]]*Table2[[#This Row],[Quantity]]*Table2[[#This Row],[COUPON %]]/100</f>
        <v>79.226399999999998</v>
      </c>
      <c r="AD225">
        <f t="shared" si="34"/>
        <v>911.10360000000003</v>
      </c>
      <c r="AE225" s="1">
        <f t="shared" si="35"/>
        <v>990.33</v>
      </c>
    </row>
    <row r="226" spans="1:31" x14ac:dyDescent="0.25">
      <c r="A226" t="s">
        <v>1195</v>
      </c>
      <c r="B226" t="str">
        <f t="shared" si="27"/>
        <v xml:space="preserve">Valerie Carr </v>
      </c>
      <c r="C226" t="s">
        <v>1194</v>
      </c>
      <c r="D226" t="s">
        <v>1193</v>
      </c>
      <c r="E226">
        <v>26</v>
      </c>
      <c r="F226" t="str">
        <f t="shared" si="28"/>
        <v>26-35</v>
      </c>
      <c r="G226" t="s">
        <v>8</v>
      </c>
      <c r="H226" t="s">
        <v>79</v>
      </c>
      <c r="I226" t="s">
        <v>1192</v>
      </c>
      <c r="J226" t="str">
        <f t="shared" si="29"/>
        <v>rediffmail.com</v>
      </c>
      <c r="K226" t="s">
        <v>1191</v>
      </c>
      <c r="L226" t="s">
        <v>1320</v>
      </c>
      <c r="M226" s="2">
        <v>45537</v>
      </c>
      <c r="N226" t="s">
        <v>1319</v>
      </c>
      <c r="O226" t="s">
        <v>290</v>
      </c>
      <c r="P226">
        <v>372.62</v>
      </c>
      <c r="Q226">
        <v>1</v>
      </c>
      <c r="R226" t="s">
        <v>166</v>
      </c>
      <c r="S226" s="5">
        <v>10</v>
      </c>
      <c r="T226" s="3">
        <v>4</v>
      </c>
      <c r="U226" s="4" t="str">
        <f t="shared" si="30"/>
        <v>On_time</v>
      </c>
      <c r="V226">
        <v>36</v>
      </c>
      <c r="W226" s="3">
        <f t="shared" si="31"/>
        <v>4</v>
      </c>
      <c r="X226" s="2">
        <v>45541</v>
      </c>
      <c r="Y226" s="1">
        <f>YEAR(Table2[[#This Row],[Delivery_Date]])</f>
        <v>2024</v>
      </c>
      <c r="Z226" s="2" t="str">
        <f t="shared" si="32"/>
        <v>Sep</v>
      </c>
      <c r="AA226" t="s">
        <v>1318</v>
      </c>
      <c r="AB226">
        <f t="shared" si="33"/>
        <v>371.358</v>
      </c>
      <c r="AC226">
        <f>Table2[[#This Row],[Price]]*Table2[[#This Row],[Quantity]]*Table2[[#This Row],[COUPON %]]/100</f>
        <v>37.262</v>
      </c>
      <c r="AD226">
        <f t="shared" si="34"/>
        <v>335.358</v>
      </c>
      <c r="AE226" s="1">
        <f t="shared" si="35"/>
        <v>372.62</v>
      </c>
    </row>
    <row r="227" spans="1:31" x14ac:dyDescent="0.25">
      <c r="A227" t="s">
        <v>1052</v>
      </c>
      <c r="B227" t="str">
        <f t="shared" si="27"/>
        <v xml:space="preserve">Gary Huff </v>
      </c>
      <c r="C227" t="s">
        <v>393</v>
      </c>
      <c r="D227" t="s">
        <v>1051</v>
      </c>
      <c r="E227">
        <v>18</v>
      </c>
      <c r="F227" t="str">
        <f t="shared" si="28"/>
        <v>0-25</v>
      </c>
      <c r="G227" t="s">
        <v>108</v>
      </c>
      <c r="H227" t="s">
        <v>28</v>
      </c>
      <c r="I227" t="s">
        <v>1050</v>
      </c>
      <c r="J227" t="str">
        <f t="shared" si="29"/>
        <v>gmail.com</v>
      </c>
      <c r="K227" t="s">
        <v>1049</v>
      </c>
      <c r="L227" t="s">
        <v>1317</v>
      </c>
      <c r="M227" s="2">
        <v>45217</v>
      </c>
      <c r="N227" t="s">
        <v>1316</v>
      </c>
      <c r="O227" t="s">
        <v>149</v>
      </c>
      <c r="P227">
        <v>481.48</v>
      </c>
      <c r="Q227">
        <v>3</v>
      </c>
      <c r="R227" t="s">
        <v>166</v>
      </c>
      <c r="S227" s="5">
        <v>10</v>
      </c>
      <c r="T227" s="3">
        <v>2</v>
      </c>
      <c r="U227" s="4" t="str">
        <f t="shared" si="30"/>
        <v>Late_Delivery</v>
      </c>
      <c r="V227">
        <v>42</v>
      </c>
      <c r="W227" s="3">
        <f t="shared" si="31"/>
        <v>4</v>
      </c>
      <c r="X227" s="2">
        <v>45221</v>
      </c>
      <c r="Y227" s="1">
        <f>YEAR(Table2[[#This Row],[Delivery_Date]])</f>
        <v>2023</v>
      </c>
      <c r="Z227" s="2" t="str">
        <f t="shared" si="32"/>
        <v>Oct</v>
      </c>
      <c r="AA227" t="s">
        <v>1315</v>
      </c>
      <c r="AB227">
        <f t="shared" si="33"/>
        <v>1341.9960000000001</v>
      </c>
      <c r="AC227">
        <f>Table2[[#This Row],[Price]]*Table2[[#This Row],[Quantity]]*Table2[[#This Row],[COUPON %]]/100</f>
        <v>144.44400000000002</v>
      </c>
      <c r="AD227">
        <f t="shared" si="34"/>
        <v>1299.9960000000001</v>
      </c>
      <c r="AE227" s="1">
        <f t="shared" si="35"/>
        <v>1444.44</v>
      </c>
    </row>
    <row r="228" spans="1:31" x14ac:dyDescent="0.25">
      <c r="A228" t="s">
        <v>164</v>
      </c>
      <c r="B228" t="str">
        <f t="shared" si="27"/>
        <v xml:space="preserve">Mallory Mitchell </v>
      </c>
      <c r="C228" t="s">
        <v>163</v>
      </c>
      <c r="D228" t="s">
        <v>162</v>
      </c>
      <c r="E228">
        <v>42</v>
      </c>
      <c r="F228" t="str">
        <f t="shared" si="28"/>
        <v>36-45</v>
      </c>
      <c r="G228" t="s">
        <v>29</v>
      </c>
      <c r="H228" t="s">
        <v>79</v>
      </c>
      <c r="I228" t="s">
        <v>161</v>
      </c>
      <c r="J228" t="str">
        <f t="shared" si="29"/>
        <v>yahoo.com</v>
      </c>
      <c r="K228" t="s">
        <v>160</v>
      </c>
      <c r="L228" t="s">
        <v>1314</v>
      </c>
      <c r="M228" s="2">
        <v>45555</v>
      </c>
      <c r="N228" t="s">
        <v>1313</v>
      </c>
      <c r="O228" t="s">
        <v>140</v>
      </c>
      <c r="P228">
        <v>308.88</v>
      </c>
      <c r="Q228">
        <v>1</v>
      </c>
      <c r="R228" t="s">
        <v>93</v>
      </c>
      <c r="S228" s="5">
        <v>15</v>
      </c>
      <c r="T228" s="3">
        <v>3</v>
      </c>
      <c r="U228" s="4" t="str">
        <f t="shared" si="30"/>
        <v>Before_time</v>
      </c>
      <c r="V228">
        <v>54</v>
      </c>
      <c r="W228" s="3">
        <f t="shared" si="31"/>
        <v>1</v>
      </c>
      <c r="X228" s="2">
        <v>45556</v>
      </c>
      <c r="Y228" s="1">
        <f>YEAR(Table2[[#This Row],[Delivery_Date]])</f>
        <v>2024</v>
      </c>
      <c r="Z228" s="2" t="str">
        <f t="shared" si="32"/>
        <v>Sep</v>
      </c>
      <c r="AA228" t="s">
        <v>1312</v>
      </c>
      <c r="AB228">
        <f t="shared" si="33"/>
        <v>316.548</v>
      </c>
      <c r="AC228">
        <f>Table2[[#This Row],[Price]]*Table2[[#This Row],[Quantity]]*Table2[[#This Row],[COUPON %]]/100</f>
        <v>46.332000000000001</v>
      </c>
      <c r="AD228">
        <f t="shared" si="34"/>
        <v>262.548</v>
      </c>
      <c r="AE228" s="1">
        <f t="shared" si="35"/>
        <v>308.88</v>
      </c>
    </row>
    <row r="229" spans="1:31" x14ac:dyDescent="0.25">
      <c r="A229" t="s">
        <v>1311</v>
      </c>
      <c r="B229" t="str">
        <f t="shared" si="27"/>
        <v xml:space="preserve">Anne Oconnell </v>
      </c>
      <c r="C229" t="s">
        <v>1310</v>
      </c>
      <c r="D229" t="s">
        <v>1309</v>
      </c>
      <c r="E229">
        <v>37</v>
      </c>
      <c r="F229" t="str">
        <f t="shared" si="28"/>
        <v>36-45</v>
      </c>
      <c r="G229" t="s">
        <v>108</v>
      </c>
      <c r="H229" t="s">
        <v>107</v>
      </c>
      <c r="I229" t="s">
        <v>1308</v>
      </c>
      <c r="J229" t="str">
        <f t="shared" si="29"/>
        <v>outlook.com</v>
      </c>
      <c r="K229" t="s">
        <v>1307</v>
      </c>
      <c r="L229" t="s">
        <v>1306</v>
      </c>
      <c r="M229" s="2">
        <v>45162</v>
      </c>
      <c r="N229" t="s">
        <v>1305</v>
      </c>
      <c r="O229" t="s">
        <v>224</v>
      </c>
      <c r="P229">
        <v>132.97</v>
      </c>
      <c r="Q229">
        <v>4</v>
      </c>
      <c r="R229" t="s">
        <v>166</v>
      </c>
      <c r="S229" s="5">
        <v>10</v>
      </c>
      <c r="T229" s="3">
        <v>3</v>
      </c>
      <c r="U229" s="4" t="str">
        <f t="shared" si="30"/>
        <v>Before_time</v>
      </c>
      <c r="V229">
        <v>43</v>
      </c>
      <c r="W229" s="3">
        <f t="shared" si="31"/>
        <v>1</v>
      </c>
      <c r="X229" s="2">
        <v>45163</v>
      </c>
      <c r="Y229" s="1">
        <f>YEAR(Table2[[#This Row],[Delivery_Date]])</f>
        <v>2023</v>
      </c>
      <c r="Z229" s="2" t="str">
        <f t="shared" si="32"/>
        <v>Aug</v>
      </c>
      <c r="AA229" t="s">
        <v>1304</v>
      </c>
      <c r="AB229">
        <f t="shared" si="33"/>
        <v>521.69200000000001</v>
      </c>
      <c r="AC229">
        <f>Table2[[#This Row],[Price]]*Table2[[#This Row],[Quantity]]*Table2[[#This Row],[COUPON %]]/100</f>
        <v>53.188000000000002</v>
      </c>
      <c r="AD229">
        <f t="shared" si="34"/>
        <v>478.69200000000001</v>
      </c>
      <c r="AE229" s="1">
        <f t="shared" si="35"/>
        <v>531.88</v>
      </c>
    </row>
    <row r="230" spans="1:31" x14ac:dyDescent="0.25">
      <c r="A230" t="s">
        <v>1164</v>
      </c>
      <c r="B230" t="str">
        <f t="shared" si="27"/>
        <v xml:space="preserve">John Herrera </v>
      </c>
      <c r="C230" t="s">
        <v>1163</v>
      </c>
      <c r="D230" t="s">
        <v>1162</v>
      </c>
      <c r="E230">
        <v>64</v>
      </c>
      <c r="F230" t="str">
        <f t="shared" si="28"/>
        <v>&gt;45</v>
      </c>
      <c r="G230" t="s">
        <v>29</v>
      </c>
      <c r="H230" t="s">
        <v>7</v>
      </c>
      <c r="I230" t="s">
        <v>1161</v>
      </c>
      <c r="J230" t="str">
        <f t="shared" si="29"/>
        <v>outlook.com</v>
      </c>
      <c r="K230" t="s">
        <v>1160</v>
      </c>
      <c r="L230" t="s">
        <v>1303</v>
      </c>
      <c r="M230" s="2">
        <v>45488</v>
      </c>
      <c r="N230" t="s">
        <v>1302</v>
      </c>
      <c r="O230" t="s">
        <v>290</v>
      </c>
      <c r="P230">
        <v>372.62</v>
      </c>
      <c r="Q230">
        <v>4</v>
      </c>
      <c r="R230" t="s">
        <v>34</v>
      </c>
      <c r="S230" s="5">
        <v>8</v>
      </c>
      <c r="T230" s="3">
        <v>1</v>
      </c>
      <c r="U230" s="4" t="str">
        <f t="shared" si="30"/>
        <v>Late_Delivery</v>
      </c>
      <c r="V230">
        <v>45</v>
      </c>
      <c r="W230" s="3">
        <f t="shared" si="31"/>
        <v>4</v>
      </c>
      <c r="X230" s="2">
        <v>45492</v>
      </c>
      <c r="Y230" s="1">
        <f>YEAR(Table2[[#This Row],[Delivery_Date]])</f>
        <v>2024</v>
      </c>
      <c r="Z230" s="2" t="str">
        <f t="shared" si="32"/>
        <v>Jul</v>
      </c>
      <c r="AA230" t="s">
        <v>1301</v>
      </c>
      <c r="AB230">
        <f t="shared" si="33"/>
        <v>1416.2416000000001</v>
      </c>
      <c r="AC230">
        <f>Table2[[#This Row],[Price]]*Table2[[#This Row],[Quantity]]*Table2[[#This Row],[COUPON %]]/100</f>
        <v>119.2384</v>
      </c>
      <c r="AD230">
        <f t="shared" si="34"/>
        <v>1371.2416000000001</v>
      </c>
      <c r="AE230" s="1">
        <f t="shared" si="35"/>
        <v>1490.48</v>
      </c>
    </row>
    <row r="231" spans="1:31" x14ac:dyDescent="0.25">
      <c r="A231" t="s">
        <v>179</v>
      </c>
      <c r="B231" t="str">
        <f t="shared" si="27"/>
        <v xml:space="preserve">Lori Cook </v>
      </c>
      <c r="C231" t="s">
        <v>178</v>
      </c>
      <c r="D231" t="s">
        <v>177</v>
      </c>
      <c r="E231">
        <v>18</v>
      </c>
      <c r="F231" t="str">
        <f t="shared" si="28"/>
        <v>0-25</v>
      </c>
      <c r="G231" t="s">
        <v>29</v>
      </c>
      <c r="H231" t="s">
        <v>7</v>
      </c>
      <c r="I231" t="s">
        <v>176</v>
      </c>
      <c r="J231" t="str">
        <f t="shared" si="29"/>
        <v>rediffmail.com</v>
      </c>
      <c r="K231" t="s">
        <v>175</v>
      </c>
      <c r="L231" t="s">
        <v>1300</v>
      </c>
      <c r="M231" s="2">
        <v>45273</v>
      </c>
      <c r="N231" t="s">
        <v>1299</v>
      </c>
      <c r="O231" t="s">
        <v>582</v>
      </c>
      <c r="P231">
        <v>126.19</v>
      </c>
      <c r="Q231">
        <v>5</v>
      </c>
      <c r="R231" t="s">
        <v>166</v>
      </c>
      <c r="S231" s="5">
        <v>10</v>
      </c>
      <c r="T231" s="3">
        <v>4</v>
      </c>
      <c r="U231" s="4" t="str">
        <f t="shared" si="30"/>
        <v>Late_Delivery</v>
      </c>
      <c r="V231">
        <v>47</v>
      </c>
      <c r="W231" s="3">
        <f t="shared" si="31"/>
        <v>7</v>
      </c>
      <c r="X231" s="2">
        <v>45280</v>
      </c>
      <c r="Y231" s="1">
        <f>YEAR(Table2[[#This Row],[Delivery_Date]])</f>
        <v>2023</v>
      </c>
      <c r="Z231" s="2" t="str">
        <f t="shared" si="32"/>
        <v>Dec</v>
      </c>
      <c r="AA231" t="s">
        <v>1298</v>
      </c>
      <c r="AB231">
        <f t="shared" si="33"/>
        <v>614.85500000000002</v>
      </c>
      <c r="AC231">
        <f>Table2[[#This Row],[Price]]*Table2[[#This Row],[Quantity]]*Table2[[#This Row],[COUPON %]]/100</f>
        <v>63.094999999999999</v>
      </c>
      <c r="AD231">
        <f t="shared" si="34"/>
        <v>567.85500000000002</v>
      </c>
      <c r="AE231" s="1">
        <f t="shared" si="35"/>
        <v>630.95000000000005</v>
      </c>
    </row>
    <row r="232" spans="1:31" x14ac:dyDescent="0.25">
      <c r="A232" t="s">
        <v>1052</v>
      </c>
      <c r="B232" t="str">
        <f t="shared" si="27"/>
        <v xml:space="preserve">Gary Huff </v>
      </c>
      <c r="C232" t="s">
        <v>393</v>
      </c>
      <c r="D232" t="s">
        <v>1051</v>
      </c>
      <c r="E232">
        <v>18</v>
      </c>
      <c r="F232" t="str">
        <f t="shared" si="28"/>
        <v>0-25</v>
      </c>
      <c r="G232" t="s">
        <v>108</v>
      </c>
      <c r="H232" t="s">
        <v>28</v>
      </c>
      <c r="I232" t="s">
        <v>1050</v>
      </c>
      <c r="J232" t="str">
        <f t="shared" si="29"/>
        <v>gmail.com</v>
      </c>
      <c r="K232" t="s">
        <v>1049</v>
      </c>
      <c r="L232" t="s">
        <v>1297</v>
      </c>
      <c r="M232" s="2">
        <v>45117</v>
      </c>
      <c r="N232" t="s">
        <v>1296</v>
      </c>
      <c r="O232" t="s">
        <v>273</v>
      </c>
      <c r="P232">
        <v>403.03</v>
      </c>
      <c r="Q232">
        <v>2</v>
      </c>
      <c r="R232" t="s">
        <v>93</v>
      </c>
      <c r="S232" s="5">
        <v>15</v>
      </c>
      <c r="T232" s="3">
        <v>7</v>
      </c>
      <c r="U232" s="4" t="str">
        <f t="shared" si="30"/>
        <v>Before_time</v>
      </c>
      <c r="V232">
        <v>45</v>
      </c>
      <c r="W232" s="3">
        <f t="shared" si="31"/>
        <v>1</v>
      </c>
      <c r="X232" s="2">
        <v>45118</v>
      </c>
      <c r="Y232" s="1">
        <f>YEAR(Table2[[#This Row],[Delivery_Date]])</f>
        <v>2023</v>
      </c>
      <c r="Z232" s="2" t="str">
        <f t="shared" si="32"/>
        <v>Jul</v>
      </c>
      <c r="AA232" t="s">
        <v>1295</v>
      </c>
      <c r="AB232">
        <f t="shared" si="33"/>
        <v>730.15099999999995</v>
      </c>
      <c r="AC232">
        <f>Table2[[#This Row],[Price]]*Table2[[#This Row],[Quantity]]*Table2[[#This Row],[COUPON %]]/100</f>
        <v>120.90899999999999</v>
      </c>
      <c r="AD232">
        <f t="shared" si="34"/>
        <v>685.15099999999995</v>
      </c>
      <c r="AE232" s="1">
        <f t="shared" si="35"/>
        <v>806.06</v>
      </c>
    </row>
    <row r="233" spans="1:31" x14ac:dyDescent="0.25">
      <c r="A233" t="s">
        <v>1052</v>
      </c>
      <c r="B233" t="str">
        <f t="shared" si="27"/>
        <v xml:space="preserve">Gary Huff </v>
      </c>
      <c r="C233" t="s">
        <v>393</v>
      </c>
      <c r="D233" t="s">
        <v>1051</v>
      </c>
      <c r="E233">
        <v>18</v>
      </c>
      <c r="F233" t="str">
        <f t="shared" si="28"/>
        <v>0-25</v>
      </c>
      <c r="G233" t="s">
        <v>108</v>
      </c>
      <c r="H233" t="s">
        <v>28</v>
      </c>
      <c r="I233" t="s">
        <v>1050</v>
      </c>
      <c r="J233" t="str">
        <f t="shared" si="29"/>
        <v>gmail.com</v>
      </c>
      <c r="K233" t="s">
        <v>1049</v>
      </c>
      <c r="L233" t="s">
        <v>1294</v>
      </c>
      <c r="M233" s="2">
        <v>45392</v>
      </c>
      <c r="N233" t="s">
        <v>1293</v>
      </c>
      <c r="O233" t="s">
        <v>347</v>
      </c>
      <c r="P233">
        <v>157.63999999999999</v>
      </c>
      <c r="Q233">
        <v>2</v>
      </c>
      <c r="R233" t="s">
        <v>93</v>
      </c>
      <c r="S233" s="5">
        <v>15</v>
      </c>
      <c r="T233" s="3">
        <v>5</v>
      </c>
      <c r="U233" s="4" t="str">
        <f t="shared" si="30"/>
        <v>Before_time</v>
      </c>
      <c r="V233">
        <v>64</v>
      </c>
      <c r="W233" s="3">
        <f t="shared" si="31"/>
        <v>3</v>
      </c>
      <c r="X233" s="2">
        <v>45395</v>
      </c>
      <c r="Y233" s="1">
        <f>YEAR(Table2[[#This Row],[Delivery_Date]])</f>
        <v>2024</v>
      </c>
      <c r="Z233" s="2" t="str">
        <f t="shared" si="32"/>
        <v>Apr</v>
      </c>
      <c r="AA233" t="s">
        <v>1292</v>
      </c>
      <c r="AB233">
        <f t="shared" si="33"/>
        <v>331.98799999999994</v>
      </c>
      <c r="AC233">
        <f>Table2[[#This Row],[Price]]*Table2[[#This Row],[Quantity]]*Table2[[#This Row],[COUPON %]]/100</f>
        <v>47.292000000000002</v>
      </c>
      <c r="AD233">
        <f t="shared" si="34"/>
        <v>267.98799999999994</v>
      </c>
      <c r="AE233" s="1">
        <f t="shared" si="35"/>
        <v>315.27999999999997</v>
      </c>
    </row>
    <row r="234" spans="1:31" x14ac:dyDescent="0.25">
      <c r="A234" t="s">
        <v>1077</v>
      </c>
      <c r="B234" t="str">
        <f t="shared" si="27"/>
        <v xml:space="preserve">Mike Carter </v>
      </c>
      <c r="C234" t="s">
        <v>1076</v>
      </c>
      <c r="D234" t="s">
        <v>1075</v>
      </c>
      <c r="E234">
        <v>59</v>
      </c>
      <c r="F234" t="str">
        <f t="shared" si="28"/>
        <v>&gt;45</v>
      </c>
      <c r="G234" t="s">
        <v>8</v>
      </c>
      <c r="H234" t="s">
        <v>79</v>
      </c>
      <c r="I234" t="s">
        <v>1074</v>
      </c>
      <c r="J234" t="str">
        <f t="shared" si="29"/>
        <v>rediffmail.com</v>
      </c>
      <c r="K234" t="s">
        <v>1073</v>
      </c>
      <c r="L234" t="s">
        <v>1291</v>
      </c>
      <c r="M234" s="2">
        <v>45251</v>
      </c>
      <c r="N234" t="s">
        <v>1290</v>
      </c>
      <c r="O234" t="s">
        <v>35</v>
      </c>
      <c r="P234">
        <v>128.13999999999999</v>
      </c>
      <c r="Q234">
        <v>1</v>
      </c>
      <c r="R234" t="s">
        <v>166</v>
      </c>
      <c r="S234" s="5">
        <v>10</v>
      </c>
      <c r="T234" s="3">
        <v>7</v>
      </c>
      <c r="U234" s="4" t="str">
        <f t="shared" si="30"/>
        <v>Before_time</v>
      </c>
      <c r="V234">
        <v>52</v>
      </c>
      <c r="W234" s="3">
        <f t="shared" si="31"/>
        <v>3</v>
      </c>
      <c r="X234" s="2">
        <v>45254</v>
      </c>
      <c r="Y234" s="1">
        <f>YEAR(Table2[[#This Row],[Delivery_Date]])</f>
        <v>2023</v>
      </c>
      <c r="Z234" s="2" t="str">
        <f t="shared" si="32"/>
        <v>Nov</v>
      </c>
      <c r="AA234" t="s">
        <v>1289</v>
      </c>
      <c r="AB234">
        <f t="shared" si="33"/>
        <v>167.32599999999999</v>
      </c>
      <c r="AC234">
        <f>Table2[[#This Row],[Price]]*Table2[[#This Row],[Quantity]]*Table2[[#This Row],[COUPON %]]/100</f>
        <v>12.813999999999998</v>
      </c>
      <c r="AD234">
        <f t="shared" si="34"/>
        <v>115.32599999999999</v>
      </c>
      <c r="AE234" s="1">
        <f t="shared" si="35"/>
        <v>128.13999999999999</v>
      </c>
    </row>
    <row r="235" spans="1:31" x14ac:dyDescent="0.25">
      <c r="A235" t="s">
        <v>1187</v>
      </c>
      <c r="B235" t="str">
        <f t="shared" si="27"/>
        <v xml:space="preserve">Lauren Long </v>
      </c>
      <c r="C235" t="s">
        <v>254</v>
      </c>
      <c r="D235" t="s">
        <v>1186</v>
      </c>
      <c r="E235">
        <v>44</v>
      </c>
      <c r="F235" t="str">
        <f t="shared" si="28"/>
        <v>36-45</v>
      </c>
      <c r="G235" t="s">
        <v>108</v>
      </c>
      <c r="H235" t="s">
        <v>18</v>
      </c>
      <c r="I235" t="s">
        <v>1185</v>
      </c>
      <c r="J235" t="str">
        <f t="shared" si="29"/>
        <v>gmail.com</v>
      </c>
      <c r="K235" t="s">
        <v>1184</v>
      </c>
      <c r="L235" t="s">
        <v>1288</v>
      </c>
      <c r="M235" s="2">
        <v>45348</v>
      </c>
      <c r="N235" t="s">
        <v>1287</v>
      </c>
      <c r="O235" t="s">
        <v>343</v>
      </c>
      <c r="P235">
        <v>257.06</v>
      </c>
      <c r="Q235">
        <v>3</v>
      </c>
      <c r="R235" t="s">
        <v>1</v>
      </c>
      <c r="S235" s="5">
        <v>0</v>
      </c>
      <c r="T235" s="3">
        <v>5</v>
      </c>
      <c r="U235" s="4" t="str">
        <f t="shared" si="30"/>
        <v>Late_Delivery</v>
      </c>
      <c r="V235">
        <v>63</v>
      </c>
      <c r="W235" s="3">
        <f t="shared" si="31"/>
        <v>6</v>
      </c>
      <c r="X235" s="2">
        <v>45354</v>
      </c>
      <c r="Y235" s="1">
        <f>YEAR(Table2[[#This Row],[Delivery_Date]])</f>
        <v>2024</v>
      </c>
      <c r="Z235" s="2" t="str">
        <f t="shared" si="32"/>
        <v>Mar</v>
      </c>
      <c r="AA235" t="s">
        <v>1286</v>
      </c>
      <c r="AB235">
        <f t="shared" si="33"/>
        <v>834.18000000000006</v>
      </c>
      <c r="AC235">
        <f>Table2[[#This Row],[Price]]*Table2[[#This Row],[Quantity]]*Table2[[#This Row],[COUPON %]]/100</f>
        <v>0</v>
      </c>
      <c r="AD235">
        <f t="shared" si="34"/>
        <v>771.18000000000006</v>
      </c>
      <c r="AE235" s="1">
        <f t="shared" si="35"/>
        <v>771.18000000000006</v>
      </c>
    </row>
    <row r="236" spans="1:31" x14ac:dyDescent="0.25">
      <c r="A236" t="s">
        <v>433</v>
      </c>
      <c r="B236" t="str">
        <f t="shared" si="27"/>
        <v xml:space="preserve">Jodi Whitney </v>
      </c>
      <c r="C236" t="s">
        <v>432</v>
      </c>
      <c r="D236" t="s">
        <v>431</v>
      </c>
      <c r="E236">
        <v>33</v>
      </c>
      <c r="F236" t="str">
        <f t="shared" si="28"/>
        <v>26-35</v>
      </c>
      <c r="G236" t="s">
        <v>8</v>
      </c>
      <c r="H236" t="s">
        <v>79</v>
      </c>
      <c r="I236" t="s">
        <v>430</v>
      </c>
      <c r="J236" t="str">
        <f t="shared" si="29"/>
        <v>yahoo.com</v>
      </c>
      <c r="K236" t="s">
        <v>429</v>
      </c>
      <c r="L236" t="s">
        <v>1285</v>
      </c>
      <c r="M236" s="2">
        <v>45257</v>
      </c>
      <c r="N236" t="s">
        <v>1284</v>
      </c>
      <c r="O236" t="s">
        <v>23</v>
      </c>
      <c r="P236">
        <v>272.51</v>
      </c>
      <c r="Q236">
        <v>2</v>
      </c>
      <c r="R236" t="s">
        <v>166</v>
      </c>
      <c r="S236" s="5">
        <v>10</v>
      </c>
      <c r="T236" s="3">
        <v>4</v>
      </c>
      <c r="U236" s="4" t="str">
        <f t="shared" si="30"/>
        <v>Late_Delivery</v>
      </c>
      <c r="V236">
        <v>48</v>
      </c>
      <c r="W236" s="3">
        <f t="shared" si="31"/>
        <v>7</v>
      </c>
      <c r="X236" s="2">
        <v>45264</v>
      </c>
      <c r="Y236" s="1">
        <f>YEAR(Table2[[#This Row],[Delivery_Date]])</f>
        <v>2023</v>
      </c>
      <c r="Z236" s="2" t="str">
        <f t="shared" si="32"/>
        <v>Dec</v>
      </c>
      <c r="AA236" t="s">
        <v>1283</v>
      </c>
      <c r="AB236">
        <f t="shared" si="33"/>
        <v>538.51800000000003</v>
      </c>
      <c r="AC236">
        <f>Table2[[#This Row],[Price]]*Table2[[#This Row],[Quantity]]*Table2[[#This Row],[COUPON %]]/100</f>
        <v>54.501999999999995</v>
      </c>
      <c r="AD236">
        <f t="shared" si="34"/>
        <v>490.51799999999997</v>
      </c>
      <c r="AE236" s="1">
        <f t="shared" si="35"/>
        <v>545.02</v>
      </c>
    </row>
    <row r="237" spans="1:31" x14ac:dyDescent="0.25">
      <c r="A237" t="s">
        <v>1187</v>
      </c>
      <c r="B237" t="str">
        <f t="shared" si="27"/>
        <v xml:space="preserve">Lauren Long </v>
      </c>
      <c r="C237" t="s">
        <v>254</v>
      </c>
      <c r="D237" t="s">
        <v>1186</v>
      </c>
      <c r="E237">
        <v>44</v>
      </c>
      <c r="F237" t="str">
        <f t="shared" si="28"/>
        <v>36-45</v>
      </c>
      <c r="G237" t="s">
        <v>108</v>
      </c>
      <c r="H237" t="s">
        <v>18</v>
      </c>
      <c r="I237" t="s">
        <v>1185</v>
      </c>
      <c r="J237" t="str">
        <f t="shared" si="29"/>
        <v>gmail.com</v>
      </c>
      <c r="K237" t="s">
        <v>1184</v>
      </c>
      <c r="L237" t="s">
        <v>1282</v>
      </c>
      <c r="M237" s="2">
        <v>45390</v>
      </c>
      <c r="N237" t="s">
        <v>1281</v>
      </c>
      <c r="O237" t="s">
        <v>457</v>
      </c>
      <c r="P237">
        <v>363.64</v>
      </c>
      <c r="Q237">
        <v>3</v>
      </c>
      <c r="R237" t="s">
        <v>93</v>
      </c>
      <c r="S237" s="5">
        <v>15</v>
      </c>
      <c r="T237" s="3">
        <v>1</v>
      </c>
      <c r="U237" s="4" t="str">
        <f t="shared" si="30"/>
        <v>Late_Delivery</v>
      </c>
      <c r="V237">
        <v>47</v>
      </c>
      <c r="W237" s="3">
        <f t="shared" si="31"/>
        <v>5</v>
      </c>
      <c r="X237" s="2">
        <v>45395</v>
      </c>
      <c r="Y237" s="1">
        <f>YEAR(Table2[[#This Row],[Delivery_Date]])</f>
        <v>2024</v>
      </c>
      <c r="Z237" s="2" t="str">
        <f t="shared" si="32"/>
        <v>Apr</v>
      </c>
      <c r="AA237" t="s">
        <v>1280</v>
      </c>
      <c r="AB237">
        <f t="shared" si="33"/>
        <v>974.28200000000004</v>
      </c>
      <c r="AC237">
        <f>Table2[[#This Row],[Price]]*Table2[[#This Row],[Quantity]]*Table2[[#This Row],[COUPON %]]/100</f>
        <v>163.63800000000001</v>
      </c>
      <c r="AD237">
        <f t="shared" si="34"/>
        <v>927.28200000000004</v>
      </c>
      <c r="AE237" s="1">
        <f t="shared" si="35"/>
        <v>1090.92</v>
      </c>
    </row>
    <row r="238" spans="1:31" x14ac:dyDescent="0.25">
      <c r="A238" t="s">
        <v>386</v>
      </c>
      <c r="B238" t="str">
        <f t="shared" si="27"/>
        <v xml:space="preserve">William Mann </v>
      </c>
      <c r="C238" t="s">
        <v>385</v>
      </c>
      <c r="D238" t="s">
        <v>384</v>
      </c>
      <c r="E238">
        <v>21</v>
      </c>
      <c r="F238" t="str">
        <f t="shared" si="28"/>
        <v>0-25</v>
      </c>
      <c r="G238" t="s">
        <v>108</v>
      </c>
      <c r="H238" t="s">
        <v>7</v>
      </c>
      <c r="I238" t="s">
        <v>383</v>
      </c>
      <c r="J238" t="str">
        <f t="shared" si="29"/>
        <v>yahoo.com</v>
      </c>
      <c r="K238" t="s">
        <v>382</v>
      </c>
      <c r="L238" t="s">
        <v>1279</v>
      </c>
      <c r="M238" s="2">
        <v>45578</v>
      </c>
      <c r="N238" t="s">
        <v>1278</v>
      </c>
      <c r="O238" t="s">
        <v>457</v>
      </c>
      <c r="P238">
        <v>363.64</v>
      </c>
      <c r="Q238">
        <v>3</v>
      </c>
      <c r="R238" t="s">
        <v>64</v>
      </c>
      <c r="S238" s="5">
        <v>20</v>
      </c>
      <c r="T238" s="3">
        <v>6</v>
      </c>
      <c r="U238" s="4" t="str">
        <f t="shared" si="30"/>
        <v>Late_Delivery</v>
      </c>
      <c r="V238">
        <v>64</v>
      </c>
      <c r="W238" s="3">
        <f t="shared" si="31"/>
        <v>7</v>
      </c>
      <c r="X238" s="2">
        <v>45585</v>
      </c>
      <c r="Y238" s="1">
        <f>YEAR(Table2[[#This Row],[Delivery_Date]])</f>
        <v>2024</v>
      </c>
      <c r="Z238" s="2" t="str">
        <f t="shared" si="32"/>
        <v>Oct</v>
      </c>
      <c r="AA238" t="s">
        <v>1277</v>
      </c>
      <c r="AB238">
        <f t="shared" si="33"/>
        <v>936.7360000000001</v>
      </c>
      <c r="AC238">
        <f>Table2[[#This Row],[Price]]*Table2[[#This Row],[Quantity]]*Table2[[#This Row],[COUPON %]]/100</f>
        <v>218.18400000000003</v>
      </c>
      <c r="AD238">
        <f t="shared" si="34"/>
        <v>872.7360000000001</v>
      </c>
      <c r="AE238" s="1">
        <f t="shared" si="35"/>
        <v>1090.92</v>
      </c>
    </row>
    <row r="239" spans="1:31" x14ac:dyDescent="0.25">
      <c r="A239" t="s">
        <v>279</v>
      </c>
      <c r="B239" t="str">
        <f t="shared" si="27"/>
        <v xml:space="preserve">Amy Ellis </v>
      </c>
      <c r="C239" t="s">
        <v>270</v>
      </c>
      <c r="D239" t="s">
        <v>278</v>
      </c>
      <c r="E239">
        <v>44</v>
      </c>
      <c r="F239" t="str">
        <f t="shared" si="28"/>
        <v>36-45</v>
      </c>
      <c r="G239" t="s">
        <v>8</v>
      </c>
      <c r="H239" t="s">
        <v>118</v>
      </c>
      <c r="I239" t="s">
        <v>277</v>
      </c>
      <c r="J239" t="str">
        <f t="shared" si="29"/>
        <v>gmail.com</v>
      </c>
      <c r="K239" t="s">
        <v>276</v>
      </c>
      <c r="L239" t="s">
        <v>1276</v>
      </c>
      <c r="M239" s="2">
        <v>45109</v>
      </c>
      <c r="N239" t="s">
        <v>1275</v>
      </c>
      <c r="O239" t="s">
        <v>299</v>
      </c>
      <c r="P239">
        <v>235.63</v>
      </c>
      <c r="Q239">
        <v>5</v>
      </c>
      <c r="R239" t="s">
        <v>64</v>
      </c>
      <c r="S239" s="5">
        <v>20</v>
      </c>
      <c r="T239" s="3">
        <v>6</v>
      </c>
      <c r="U239" s="4" t="str">
        <f t="shared" si="30"/>
        <v>Before_time</v>
      </c>
      <c r="V239">
        <v>63</v>
      </c>
      <c r="W239" s="3">
        <f t="shared" si="31"/>
        <v>5</v>
      </c>
      <c r="X239" s="2">
        <v>45114</v>
      </c>
      <c r="Y239" s="1">
        <f>YEAR(Table2[[#This Row],[Delivery_Date]])</f>
        <v>2023</v>
      </c>
      <c r="Z239" s="2" t="str">
        <f t="shared" si="32"/>
        <v>Jul</v>
      </c>
      <c r="AA239" t="s">
        <v>1274</v>
      </c>
      <c r="AB239">
        <f t="shared" si="33"/>
        <v>1005.5200000000001</v>
      </c>
      <c r="AC239">
        <f>Table2[[#This Row],[Price]]*Table2[[#This Row],[Quantity]]*Table2[[#This Row],[COUPON %]]/100</f>
        <v>235.63</v>
      </c>
      <c r="AD239">
        <f t="shared" si="34"/>
        <v>942.5200000000001</v>
      </c>
      <c r="AE239" s="1">
        <f t="shared" si="35"/>
        <v>1178.1500000000001</v>
      </c>
    </row>
    <row r="240" spans="1:31" x14ac:dyDescent="0.25">
      <c r="A240" t="s">
        <v>861</v>
      </c>
      <c r="B240" t="str">
        <f t="shared" si="27"/>
        <v xml:space="preserve">Thomas Owens </v>
      </c>
      <c r="C240" t="s">
        <v>369</v>
      </c>
      <c r="D240" t="s">
        <v>860</v>
      </c>
      <c r="E240">
        <v>34</v>
      </c>
      <c r="F240" t="str">
        <f t="shared" si="28"/>
        <v>26-35</v>
      </c>
      <c r="G240" t="s">
        <v>8</v>
      </c>
      <c r="H240" t="s">
        <v>18</v>
      </c>
      <c r="I240" t="s">
        <v>859</v>
      </c>
      <c r="J240" t="str">
        <f t="shared" si="29"/>
        <v>outlook.com</v>
      </c>
      <c r="K240" t="s">
        <v>858</v>
      </c>
      <c r="L240" t="s">
        <v>1273</v>
      </c>
      <c r="M240" s="2">
        <v>45595</v>
      </c>
      <c r="N240" t="s">
        <v>1272</v>
      </c>
      <c r="O240" t="s">
        <v>470</v>
      </c>
      <c r="P240">
        <v>133.62</v>
      </c>
      <c r="Q240">
        <v>1</v>
      </c>
      <c r="R240" t="s">
        <v>34</v>
      </c>
      <c r="S240" s="5">
        <v>8</v>
      </c>
      <c r="T240" s="3">
        <v>1</v>
      </c>
      <c r="U240" s="4" t="str">
        <f t="shared" si="30"/>
        <v>Late_Delivery</v>
      </c>
      <c r="V240">
        <v>57</v>
      </c>
      <c r="W240" s="3">
        <f t="shared" si="31"/>
        <v>7</v>
      </c>
      <c r="X240" s="2">
        <v>45602</v>
      </c>
      <c r="Y240" s="1">
        <f>YEAR(Table2[[#This Row],[Delivery_Date]])</f>
        <v>2024</v>
      </c>
      <c r="Z240" s="2" t="str">
        <f t="shared" si="32"/>
        <v>Nov</v>
      </c>
      <c r="AA240" t="s">
        <v>1271</v>
      </c>
      <c r="AB240">
        <f t="shared" si="33"/>
        <v>179.93040000000002</v>
      </c>
      <c r="AC240">
        <f>Table2[[#This Row],[Price]]*Table2[[#This Row],[Quantity]]*Table2[[#This Row],[COUPON %]]/100</f>
        <v>10.6896</v>
      </c>
      <c r="AD240">
        <f t="shared" si="34"/>
        <v>122.93040000000001</v>
      </c>
      <c r="AE240" s="1">
        <f t="shared" si="35"/>
        <v>133.62</v>
      </c>
    </row>
    <row r="241" spans="1:31" x14ac:dyDescent="0.25">
      <c r="A241" t="s">
        <v>243</v>
      </c>
      <c r="B241" t="str">
        <f t="shared" si="27"/>
        <v xml:space="preserve">Heather Schneider </v>
      </c>
      <c r="C241" t="s">
        <v>242</v>
      </c>
      <c r="D241" t="s">
        <v>241</v>
      </c>
      <c r="E241">
        <v>48</v>
      </c>
      <c r="F241" t="str">
        <f t="shared" si="28"/>
        <v>&gt;45</v>
      </c>
      <c r="G241" t="s">
        <v>29</v>
      </c>
      <c r="H241" t="s">
        <v>118</v>
      </c>
      <c r="I241" t="s">
        <v>240</v>
      </c>
      <c r="J241" t="str">
        <f t="shared" si="29"/>
        <v>outlook.com</v>
      </c>
      <c r="K241" t="s">
        <v>239</v>
      </c>
      <c r="L241" t="s">
        <v>1270</v>
      </c>
      <c r="M241" s="2">
        <v>45616</v>
      </c>
      <c r="N241" t="s">
        <v>1269</v>
      </c>
      <c r="O241" t="s">
        <v>615</v>
      </c>
      <c r="P241">
        <v>282.63</v>
      </c>
      <c r="Q241">
        <v>4</v>
      </c>
      <c r="R241" t="s">
        <v>166</v>
      </c>
      <c r="S241" s="5">
        <v>10</v>
      </c>
      <c r="T241" s="3">
        <v>1</v>
      </c>
      <c r="U241" s="4" t="str">
        <f t="shared" si="30"/>
        <v>Late_Delivery</v>
      </c>
      <c r="V241">
        <v>60</v>
      </c>
      <c r="W241" s="3">
        <f t="shared" si="31"/>
        <v>2</v>
      </c>
      <c r="X241" s="2">
        <v>45618</v>
      </c>
      <c r="Y241" s="1">
        <f>YEAR(Table2[[#This Row],[Delivery_Date]])</f>
        <v>2024</v>
      </c>
      <c r="Z241" s="2" t="str">
        <f t="shared" si="32"/>
        <v>Nov</v>
      </c>
      <c r="AA241" t="s">
        <v>1268</v>
      </c>
      <c r="AB241">
        <f t="shared" si="33"/>
        <v>1077.4679999999998</v>
      </c>
      <c r="AC241">
        <f>Table2[[#This Row],[Price]]*Table2[[#This Row],[Quantity]]*Table2[[#This Row],[COUPON %]]/100</f>
        <v>113.05200000000001</v>
      </c>
      <c r="AD241">
        <f t="shared" si="34"/>
        <v>1017.468</v>
      </c>
      <c r="AE241" s="1">
        <f t="shared" si="35"/>
        <v>1130.52</v>
      </c>
    </row>
    <row r="242" spans="1:31" x14ac:dyDescent="0.25">
      <c r="A242" t="s">
        <v>288</v>
      </c>
      <c r="B242" t="str">
        <f t="shared" si="27"/>
        <v xml:space="preserve">Jenny Estrada </v>
      </c>
      <c r="C242" t="s">
        <v>287</v>
      </c>
      <c r="D242" t="s">
        <v>286</v>
      </c>
      <c r="E242">
        <v>45</v>
      </c>
      <c r="F242" t="str">
        <f t="shared" si="28"/>
        <v>36-45</v>
      </c>
      <c r="G242" t="s">
        <v>108</v>
      </c>
      <c r="H242" t="s">
        <v>7</v>
      </c>
      <c r="I242" t="s">
        <v>285</v>
      </c>
      <c r="J242" t="str">
        <f t="shared" si="29"/>
        <v>yahoo.com</v>
      </c>
      <c r="K242" t="s">
        <v>284</v>
      </c>
      <c r="L242" t="s">
        <v>1267</v>
      </c>
      <c r="M242" s="2">
        <v>45271</v>
      </c>
      <c r="N242" t="s">
        <v>1266</v>
      </c>
      <c r="O242" t="s">
        <v>211</v>
      </c>
      <c r="P242">
        <v>166.28</v>
      </c>
      <c r="Q242">
        <v>3</v>
      </c>
      <c r="R242" t="s">
        <v>166</v>
      </c>
      <c r="S242" s="5">
        <v>10</v>
      </c>
      <c r="T242" s="3">
        <v>6</v>
      </c>
      <c r="U242" s="4" t="str">
        <f t="shared" si="30"/>
        <v>Before_time</v>
      </c>
      <c r="V242">
        <v>59</v>
      </c>
      <c r="W242" s="3">
        <f t="shared" si="31"/>
        <v>4</v>
      </c>
      <c r="X242" s="2">
        <v>45275</v>
      </c>
      <c r="Y242" s="1">
        <f>YEAR(Table2[[#This Row],[Delivery_Date]])</f>
        <v>2023</v>
      </c>
      <c r="Z242" s="2" t="str">
        <f t="shared" si="32"/>
        <v>Dec</v>
      </c>
      <c r="AA242" t="s">
        <v>1265</v>
      </c>
      <c r="AB242">
        <f t="shared" si="33"/>
        <v>507.95600000000002</v>
      </c>
      <c r="AC242">
        <f>Table2[[#This Row],[Price]]*Table2[[#This Row],[Quantity]]*Table2[[#This Row],[COUPON %]]/100</f>
        <v>49.884000000000007</v>
      </c>
      <c r="AD242">
        <f t="shared" si="34"/>
        <v>448.95600000000002</v>
      </c>
      <c r="AE242" s="1">
        <f t="shared" si="35"/>
        <v>498.84000000000003</v>
      </c>
    </row>
    <row r="243" spans="1:31" x14ac:dyDescent="0.25">
      <c r="A243" t="s">
        <v>1264</v>
      </c>
      <c r="B243" t="str">
        <f t="shared" si="27"/>
        <v xml:space="preserve">Lindsey Byrd </v>
      </c>
      <c r="C243" t="s">
        <v>1263</v>
      </c>
      <c r="D243" t="s">
        <v>1262</v>
      </c>
      <c r="E243">
        <v>32</v>
      </c>
      <c r="F243" t="str">
        <f t="shared" si="28"/>
        <v>26-35</v>
      </c>
      <c r="G243" t="s">
        <v>108</v>
      </c>
      <c r="H243" t="s">
        <v>40</v>
      </c>
      <c r="I243" t="s">
        <v>1261</v>
      </c>
      <c r="J243" t="str">
        <f t="shared" si="29"/>
        <v>rediffmail.com</v>
      </c>
      <c r="K243" t="s">
        <v>1260</v>
      </c>
      <c r="L243" t="s">
        <v>1259</v>
      </c>
      <c r="M243" s="2">
        <v>45117</v>
      </c>
      <c r="N243" t="s">
        <v>1258</v>
      </c>
      <c r="O243" t="s">
        <v>494</v>
      </c>
      <c r="P243">
        <v>425.59</v>
      </c>
      <c r="Q243">
        <v>5</v>
      </c>
      <c r="R243" t="s">
        <v>34</v>
      </c>
      <c r="S243" s="5">
        <v>8</v>
      </c>
      <c r="T243" s="3">
        <v>7</v>
      </c>
      <c r="U243" s="4" t="str">
        <f t="shared" si="30"/>
        <v>On_time</v>
      </c>
      <c r="V243">
        <v>57</v>
      </c>
      <c r="W243" s="3">
        <f t="shared" si="31"/>
        <v>7</v>
      </c>
      <c r="X243" s="2">
        <v>45124</v>
      </c>
      <c r="Y243" s="1">
        <f>YEAR(Table2[[#This Row],[Delivery_Date]])</f>
        <v>2023</v>
      </c>
      <c r="Z243" s="2" t="str">
        <f t="shared" si="32"/>
        <v>Jul</v>
      </c>
      <c r="AA243" t="s">
        <v>1257</v>
      </c>
      <c r="AB243">
        <f t="shared" si="33"/>
        <v>2014.7139999999999</v>
      </c>
      <c r="AC243">
        <f>Table2[[#This Row],[Price]]*Table2[[#This Row],[Quantity]]*Table2[[#This Row],[COUPON %]]/100</f>
        <v>170.23599999999999</v>
      </c>
      <c r="AD243">
        <f t="shared" si="34"/>
        <v>1957.7139999999999</v>
      </c>
      <c r="AE243" s="1">
        <f t="shared" si="35"/>
        <v>2127.9499999999998</v>
      </c>
    </row>
    <row r="244" spans="1:31" x14ac:dyDescent="0.25">
      <c r="A244" t="s">
        <v>91</v>
      </c>
      <c r="B244" t="str">
        <f t="shared" si="27"/>
        <v xml:space="preserve">Brittany Stewart </v>
      </c>
      <c r="C244" t="s">
        <v>90</v>
      </c>
      <c r="D244" t="s">
        <v>89</v>
      </c>
      <c r="E244">
        <v>68</v>
      </c>
      <c r="F244" t="str">
        <f t="shared" si="28"/>
        <v>&gt;45</v>
      </c>
      <c r="G244" t="s">
        <v>8</v>
      </c>
      <c r="H244" t="s">
        <v>18</v>
      </c>
      <c r="I244" t="s">
        <v>88</v>
      </c>
      <c r="J244" t="str">
        <f t="shared" si="29"/>
        <v>gmail.com</v>
      </c>
      <c r="K244" t="s">
        <v>87</v>
      </c>
      <c r="L244" t="s">
        <v>1256</v>
      </c>
      <c r="M244" s="2">
        <v>45417</v>
      </c>
      <c r="N244" t="s">
        <v>1255</v>
      </c>
      <c r="O244" t="s">
        <v>457</v>
      </c>
      <c r="P244">
        <v>363.64</v>
      </c>
      <c r="Q244">
        <v>5</v>
      </c>
      <c r="R244" t="s">
        <v>166</v>
      </c>
      <c r="S244" s="5">
        <v>10</v>
      </c>
      <c r="T244" s="3">
        <v>7</v>
      </c>
      <c r="U244" s="4" t="str">
        <f t="shared" si="30"/>
        <v>Before_time</v>
      </c>
      <c r="V244">
        <v>60</v>
      </c>
      <c r="W244" s="3">
        <f t="shared" si="31"/>
        <v>2</v>
      </c>
      <c r="X244" s="2">
        <v>45419</v>
      </c>
      <c r="Y244" s="1">
        <f>YEAR(Table2[[#This Row],[Delivery_Date]])</f>
        <v>2024</v>
      </c>
      <c r="Z244" s="2" t="str">
        <f t="shared" si="32"/>
        <v>May</v>
      </c>
      <c r="AA244" t="s">
        <v>1254</v>
      </c>
      <c r="AB244">
        <f t="shared" si="33"/>
        <v>1696.3799999999999</v>
      </c>
      <c r="AC244">
        <f>Table2[[#This Row],[Price]]*Table2[[#This Row],[Quantity]]*Table2[[#This Row],[COUPON %]]/100</f>
        <v>181.82</v>
      </c>
      <c r="AD244">
        <f t="shared" si="34"/>
        <v>1636.3799999999999</v>
      </c>
      <c r="AE244" s="1">
        <f t="shared" si="35"/>
        <v>1818.1999999999998</v>
      </c>
    </row>
    <row r="245" spans="1:31" x14ac:dyDescent="0.25">
      <c r="A245" t="s">
        <v>846</v>
      </c>
      <c r="B245" t="str">
        <f t="shared" si="27"/>
        <v xml:space="preserve">Brendan Kelly </v>
      </c>
      <c r="C245" t="s">
        <v>845</v>
      </c>
      <c r="D245" t="s">
        <v>844</v>
      </c>
      <c r="E245">
        <v>50</v>
      </c>
      <c r="F245" t="str">
        <f t="shared" si="28"/>
        <v>&gt;45</v>
      </c>
      <c r="G245" t="s">
        <v>8</v>
      </c>
      <c r="H245" t="s">
        <v>79</v>
      </c>
      <c r="I245" t="s">
        <v>843</v>
      </c>
      <c r="J245" t="str">
        <f t="shared" si="29"/>
        <v>rediffmail.com</v>
      </c>
      <c r="K245" t="s">
        <v>842</v>
      </c>
      <c r="L245" t="s">
        <v>1253</v>
      </c>
      <c r="M245" s="2">
        <v>45470</v>
      </c>
      <c r="N245" t="s">
        <v>1252</v>
      </c>
      <c r="O245" t="s">
        <v>273</v>
      </c>
      <c r="P245">
        <v>403.03</v>
      </c>
      <c r="Q245">
        <v>5</v>
      </c>
      <c r="R245" t="s">
        <v>64</v>
      </c>
      <c r="S245" s="5">
        <v>20</v>
      </c>
      <c r="T245" s="3">
        <v>2</v>
      </c>
      <c r="U245" s="4" t="str">
        <f t="shared" si="30"/>
        <v>Late_Delivery</v>
      </c>
      <c r="V245">
        <v>52</v>
      </c>
      <c r="W245" s="3">
        <f t="shared" si="31"/>
        <v>5</v>
      </c>
      <c r="X245" s="2">
        <v>45475</v>
      </c>
      <c r="Y245" s="1">
        <f>YEAR(Table2[[#This Row],[Delivery_Date]])</f>
        <v>2024</v>
      </c>
      <c r="Z245" s="2" t="str">
        <f t="shared" si="32"/>
        <v>Jul</v>
      </c>
      <c r="AA245" t="s">
        <v>1251</v>
      </c>
      <c r="AB245">
        <f t="shared" si="33"/>
        <v>1664.12</v>
      </c>
      <c r="AC245">
        <f>Table2[[#This Row],[Price]]*Table2[[#This Row],[Quantity]]*Table2[[#This Row],[COUPON %]]/100</f>
        <v>403.03</v>
      </c>
      <c r="AD245">
        <f t="shared" si="34"/>
        <v>1612.12</v>
      </c>
      <c r="AE245" s="1">
        <f t="shared" si="35"/>
        <v>2015.1499999999999</v>
      </c>
    </row>
    <row r="246" spans="1:31" x14ac:dyDescent="0.25">
      <c r="A246" t="s">
        <v>510</v>
      </c>
      <c r="B246" t="str">
        <f t="shared" si="27"/>
        <v xml:space="preserve">Katherine Weber </v>
      </c>
      <c r="C246" t="s">
        <v>509</v>
      </c>
      <c r="D246" t="s">
        <v>508</v>
      </c>
      <c r="E246">
        <v>42</v>
      </c>
      <c r="F246" t="str">
        <f t="shared" si="28"/>
        <v>36-45</v>
      </c>
      <c r="G246" t="s">
        <v>8</v>
      </c>
      <c r="H246" t="s">
        <v>28</v>
      </c>
      <c r="I246" t="s">
        <v>507</v>
      </c>
      <c r="J246" t="str">
        <f t="shared" si="29"/>
        <v>outlook.com</v>
      </c>
      <c r="K246" t="s">
        <v>506</v>
      </c>
      <c r="L246" t="s">
        <v>1250</v>
      </c>
      <c r="M246" s="2">
        <v>44968</v>
      </c>
      <c r="N246" t="s">
        <v>1249</v>
      </c>
      <c r="O246" t="s">
        <v>426</v>
      </c>
      <c r="P246">
        <v>369.03</v>
      </c>
      <c r="Q246">
        <v>1</v>
      </c>
      <c r="R246" t="s">
        <v>64</v>
      </c>
      <c r="S246" s="5">
        <v>20</v>
      </c>
      <c r="T246" s="3">
        <v>6</v>
      </c>
      <c r="U246" s="4" t="str">
        <f t="shared" si="30"/>
        <v>On_time</v>
      </c>
      <c r="V246">
        <v>38</v>
      </c>
      <c r="W246" s="3">
        <f t="shared" si="31"/>
        <v>6</v>
      </c>
      <c r="X246" s="2">
        <v>44974</v>
      </c>
      <c r="Y246" s="1">
        <f>YEAR(Table2[[#This Row],[Delivery_Date]])</f>
        <v>2023</v>
      </c>
      <c r="Z246" s="2" t="str">
        <f t="shared" si="32"/>
        <v>Feb</v>
      </c>
      <c r="AA246" t="s">
        <v>1248</v>
      </c>
      <c r="AB246">
        <f t="shared" si="33"/>
        <v>333.22399999999999</v>
      </c>
      <c r="AC246">
        <f>Table2[[#This Row],[Price]]*Table2[[#This Row],[Quantity]]*Table2[[#This Row],[COUPON %]]/100</f>
        <v>73.805999999999997</v>
      </c>
      <c r="AD246">
        <f t="shared" si="34"/>
        <v>295.22399999999999</v>
      </c>
      <c r="AE246" s="1">
        <f t="shared" si="35"/>
        <v>369.03</v>
      </c>
    </row>
    <row r="247" spans="1:31" x14ac:dyDescent="0.25">
      <c r="A247" t="s">
        <v>1036</v>
      </c>
      <c r="B247" t="str">
        <f t="shared" si="27"/>
        <v xml:space="preserve">Jessica Ruiz </v>
      </c>
      <c r="C247" t="s">
        <v>1035</v>
      </c>
      <c r="D247" t="s">
        <v>1034</v>
      </c>
      <c r="E247">
        <v>19</v>
      </c>
      <c r="F247" t="str">
        <f t="shared" si="28"/>
        <v>0-25</v>
      </c>
      <c r="G247" t="s">
        <v>29</v>
      </c>
      <c r="H247" t="s">
        <v>28</v>
      </c>
      <c r="I247" t="s">
        <v>1033</v>
      </c>
      <c r="J247" t="str">
        <f t="shared" si="29"/>
        <v>rediffmail.com</v>
      </c>
      <c r="K247" t="s">
        <v>1032</v>
      </c>
      <c r="L247" t="s">
        <v>1247</v>
      </c>
      <c r="M247" s="2">
        <v>45453</v>
      </c>
      <c r="N247" t="s">
        <v>1246</v>
      </c>
      <c r="O247" t="s">
        <v>667</v>
      </c>
      <c r="P247">
        <v>421.7</v>
      </c>
      <c r="Q247">
        <v>5</v>
      </c>
      <c r="R247" t="s">
        <v>166</v>
      </c>
      <c r="S247" s="5">
        <v>10</v>
      </c>
      <c r="T247" s="3">
        <v>6</v>
      </c>
      <c r="U247" s="4" t="str">
        <f t="shared" si="30"/>
        <v>Before_time</v>
      </c>
      <c r="V247">
        <v>61</v>
      </c>
      <c r="W247" s="3">
        <f t="shared" si="31"/>
        <v>4</v>
      </c>
      <c r="X247" s="2">
        <v>45457</v>
      </c>
      <c r="Y247" s="1">
        <f>YEAR(Table2[[#This Row],[Delivery_Date]])</f>
        <v>2024</v>
      </c>
      <c r="Z247" s="2" t="str">
        <f t="shared" si="32"/>
        <v>Jun</v>
      </c>
      <c r="AA247" t="s">
        <v>1245</v>
      </c>
      <c r="AB247">
        <f t="shared" si="33"/>
        <v>1958.65</v>
      </c>
      <c r="AC247">
        <f>Table2[[#This Row],[Price]]*Table2[[#This Row],[Quantity]]*Table2[[#This Row],[COUPON %]]/100</f>
        <v>210.85</v>
      </c>
      <c r="AD247">
        <f t="shared" si="34"/>
        <v>1897.65</v>
      </c>
      <c r="AE247" s="1">
        <f t="shared" si="35"/>
        <v>2108.5</v>
      </c>
    </row>
    <row r="248" spans="1:31" x14ac:dyDescent="0.25">
      <c r="A248" t="s">
        <v>801</v>
      </c>
      <c r="B248" t="str">
        <f t="shared" si="27"/>
        <v xml:space="preserve">Mark Summers </v>
      </c>
      <c r="C248" t="s">
        <v>51</v>
      </c>
      <c r="D248" t="s">
        <v>800</v>
      </c>
      <c r="E248">
        <v>55</v>
      </c>
      <c r="F248" t="str">
        <f t="shared" si="28"/>
        <v>&gt;45</v>
      </c>
      <c r="G248" t="s">
        <v>29</v>
      </c>
      <c r="H248" t="s">
        <v>40</v>
      </c>
      <c r="I248" t="s">
        <v>799</v>
      </c>
      <c r="J248" t="str">
        <f t="shared" si="29"/>
        <v>outlook.com</v>
      </c>
      <c r="K248" t="s">
        <v>798</v>
      </c>
      <c r="L248" t="s">
        <v>1244</v>
      </c>
      <c r="M248" s="2">
        <v>45608</v>
      </c>
      <c r="N248" t="s">
        <v>1243</v>
      </c>
      <c r="O248" t="s">
        <v>312</v>
      </c>
      <c r="P248">
        <v>381.73</v>
      </c>
      <c r="Q248">
        <v>4</v>
      </c>
      <c r="R248" t="s">
        <v>34</v>
      </c>
      <c r="S248" s="5">
        <v>8</v>
      </c>
      <c r="T248" s="3">
        <v>2</v>
      </c>
      <c r="U248" s="4" t="str">
        <f t="shared" si="30"/>
        <v>Late_Delivery</v>
      </c>
      <c r="V248">
        <v>58</v>
      </c>
      <c r="W248" s="3">
        <f t="shared" si="31"/>
        <v>5</v>
      </c>
      <c r="X248" s="2">
        <v>45613</v>
      </c>
      <c r="Y248" s="1">
        <f>YEAR(Table2[[#This Row],[Delivery_Date]])</f>
        <v>2024</v>
      </c>
      <c r="Z248" s="2" t="str">
        <f t="shared" si="32"/>
        <v>Nov</v>
      </c>
      <c r="AA248" t="s">
        <v>1242</v>
      </c>
      <c r="AB248">
        <f t="shared" si="33"/>
        <v>1462.7664000000002</v>
      </c>
      <c r="AC248">
        <f>Table2[[#This Row],[Price]]*Table2[[#This Row],[Quantity]]*Table2[[#This Row],[COUPON %]]/100</f>
        <v>122.15360000000001</v>
      </c>
      <c r="AD248">
        <f t="shared" si="34"/>
        <v>1404.7664000000002</v>
      </c>
      <c r="AE248" s="1">
        <f t="shared" si="35"/>
        <v>1526.92</v>
      </c>
    </row>
    <row r="249" spans="1:31" x14ac:dyDescent="0.25">
      <c r="A249" t="s">
        <v>414</v>
      </c>
      <c r="B249" t="str">
        <f t="shared" si="27"/>
        <v xml:space="preserve">Lisa Miller </v>
      </c>
      <c r="C249" t="s">
        <v>413</v>
      </c>
      <c r="D249" t="s">
        <v>295</v>
      </c>
      <c r="E249">
        <v>70</v>
      </c>
      <c r="F249" t="str">
        <f t="shared" si="28"/>
        <v>&gt;45</v>
      </c>
      <c r="G249" t="s">
        <v>29</v>
      </c>
      <c r="H249" t="s">
        <v>118</v>
      </c>
      <c r="I249" t="s">
        <v>412</v>
      </c>
      <c r="J249" t="str">
        <f t="shared" si="29"/>
        <v>gmail.com</v>
      </c>
      <c r="K249" t="s">
        <v>411</v>
      </c>
      <c r="L249" t="s">
        <v>1241</v>
      </c>
      <c r="M249" s="2">
        <v>45386</v>
      </c>
      <c r="N249" t="s">
        <v>1240</v>
      </c>
      <c r="O249" t="s">
        <v>714</v>
      </c>
      <c r="P249">
        <v>175.93</v>
      </c>
      <c r="Q249">
        <v>2</v>
      </c>
      <c r="R249" t="s">
        <v>166</v>
      </c>
      <c r="S249" s="5">
        <v>10</v>
      </c>
      <c r="T249" s="3">
        <v>7</v>
      </c>
      <c r="U249" s="4" t="str">
        <f t="shared" si="30"/>
        <v>Before_time</v>
      </c>
      <c r="V249">
        <v>61</v>
      </c>
      <c r="W249" s="3">
        <f t="shared" si="31"/>
        <v>5</v>
      </c>
      <c r="X249" s="2">
        <v>45391</v>
      </c>
      <c r="Y249" s="1">
        <f>YEAR(Table2[[#This Row],[Delivery_Date]])</f>
        <v>2024</v>
      </c>
      <c r="Z249" s="2" t="str">
        <f t="shared" si="32"/>
        <v>Apr</v>
      </c>
      <c r="AA249" t="s">
        <v>1239</v>
      </c>
      <c r="AB249">
        <f t="shared" si="33"/>
        <v>377.67400000000004</v>
      </c>
      <c r="AC249">
        <f>Table2[[#This Row],[Price]]*Table2[[#This Row],[Quantity]]*Table2[[#This Row],[COUPON %]]/100</f>
        <v>35.186000000000007</v>
      </c>
      <c r="AD249">
        <f t="shared" si="34"/>
        <v>316.67400000000004</v>
      </c>
      <c r="AE249" s="1">
        <f t="shared" si="35"/>
        <v>351.86</v>
      </c>
    </row>
    <row r="250" spans="1:31" x14ac:dyDescent="0.25">
      <c r="A250" t="s">
        <v>1238</v>
      </c>
      <c r="B250" t="str">
        <f t="shared" si="27"/>
        <v xml:space="preserve">John Ramirez </v>
      </c>
      <c r="C250" t="s">
        <v>1163</v>
      </c>
      <c r="D250" t="s">
        <v>1237</v>
      </c>
      <c r="E250">
        <v>28</v>
      </c>
      <c r="F250" t="str">
        <f t="shared" si="28"/>
        <v>26-35</v>
      </c>
      <c r="G250" t="s">
        <v>8</v>
      </c>
      <c r="H250" t="s">
        <v>59</v>
      </c>
      <c r="I250" t="s">
        <v>1236</v>
      </c>
      <c r="J250" t="str">
        <f t="shared" si="29"/>
        <v>outlook.com</v>
      </c>
      <c r="K250" t="s">
        <v>1235</v>
      </c>
      <c r="L250" t="s">
        <v>1234</v>
      </c>
      <c r="M250" s="2">
        <v>45322</v>
      </c>
      <c r="N250" t="s">
        <v>1233</v>
      </c>
      <c r="O250" t="s">
        <v>312</v>
      </c>
      <c r="P250">
        <v>381.73</v>
      </c>
      <c r="Q250">
        <v>2</v>
      </c>
      <c r="R250" t="s">
        <v>93</v>
      </c>
      <c r="S250" s="5">
        <v>15</v>
      </c>
      <c r="T250" s="3">
        <v>2</v>
      </c>
      <c r="U250" s="4" t="str">
        <f t="shared" si="30"/>
        <v>Late_Delivery</v>
      </c>
      <c r="V250">
        <v>68</v>
      </c>
      <c r="W250" s="3">
        <f t="shared" si="31"/>
        <v>7</v>
      </c>
      <c r="X250" s="2">
        <v>45329</v>
      </c>
      <c r="Y250" s="1">
        <f>YEAR(Table2[[#This Row],[Delivery_Date]])</f>
        <v>2024</v>
      </c>
      <c r="Z250" s="2" t="str">
        <f t="shared" si="32"/>
        <v>Feb</v>
      </c>
      <c r="AA250" t="s">
        <v>1232</v>
      </c>
      <c r="AB250">
        <f t="shared" si="33"/>
        <v>716.94100000000003</v>
      </c>
      <c r="AC250">
        <f>Table2[[#This Row],[Price]]*Table2[[#This Row],[Quantity]]*Table2[[#This Row],[COUPON %]]/100</f>
        <v>114.51900000000002</v>
      </c>
      <c r="AD250">
        <f t="shared" si="34"/>
        <v>648.94100000000003</v>
      </c>
      <c r="AE250" s="1">
        <f t="shared" si="35"/>
        <v>763.46</v>
      </c>
    </row>
    <row r="251" spans="1:31" x14ac:dyDescent="0.25">
      <c r="A251" t="s">
        <v>138</v>
      </c>
      <c r="B251" t="str">
        <f t="shared" si="27"/>
        <v xml:space="preserve">Hannah Gutierrez </v>
      </c>
      <c r="C251" t="s">
        <v>137</v>
      </c>
      <c r="D251" t="s">
        <v>136</v>
      </c>
      <c r="E251">
        <v>55</v>
      </c>
      <c r="F251" t="str">
        <f t="shared" si="28"/>
        <v>&gt;45</v>
      </c>
      <c r="G251" t="s">
        <v>29</v>
      </c>
      <c r="H251" t="s">
        <v>40</v>
      </c>
      <c r="I251" t="s">
        <v>135</v>
      </c>
      <c r="J251" t="str">
        <f t="shared" si="29"/>
        <v>yahoo.com</v>
      </c>
      <c r="K251" t="s">
        <v>134</v>
      </c>
      <c r="L251" t="s">
        <v>1231</v>
      </c>
      <c r="M251" s="2">
        <v>45470</v>
      </c>
      <c r="N251" t="s">
        <v>1230</v>
      </c>
      <c r="O251" t="s">
        <v>113</v>
      </c>
      <c r="P251">
        <v>441.03</v>
      </c>
      <c r="Q251">
        <v>3</v>
      </c>
      <c r="R251" t="s">
        <v>1</v>
      </c>
      <c r="S251" s="5">
        <v>0</v>
      </c>
      <c r="T251" s="3">
        <v>4</v>
      </c>
      <c r="U251" s="4" t="str">
        <f t="shared" si="30"/>
        <v>Before_time</v>
      </c>
      <c r="V251">
        <v>47</v>
      </c>
      <c r="W251" s="3">
        <f t="shared" si="31"/>
        <v>3</v>
      </c>
      <c r="X251" s="2">
        <v>45473</v>
      </c>
      <c r="Y251" s="1">
        <f>YEAR(Table2[[#This Row],[Delivery_Date]])</f>
        <v>2024</v>
      </c>
      <c r="Z251" s="2" t="str">
        <f t="shared" si="32"/>
        <v>Jun</v>
      </c>
      <c r="AA251" t="s">
        <v>1229</v>
      </c>
      <c r="AB251">
        <f t="shared" si="33"/>
        <v>1370.09</v>
      </c>
      <c r="AC251">
        <f>Table2[[#This Row],[Price]]*Table2[[#This Row],[Quantity]]*Table2[[#This Row],[COUPON %]]/100</f>
        <v>0</v>
      </c>
      <c r="AD251">
        <f t="shared" si="34"/>
        <v>1323.09</v>
      </c>
      <c r="AE251" s="1">
        <f t="shared" si="35"/>
        <v>1323.09</v>
      </c>
    </row>
    <row r="252" spans="1:31" x14ac:dyDescent="0.25">
      <c r="A252" t="s">
        <v>421</v>
      </c>
      <c r="B252" t="str">
        <f t="shared" si="27"/>
        <v xml:space="preserve">Angela Casey </v>
      </c>
      <c r="C252" t="s">
        <v>10</v>
      </c>
      <c r="D252" t="s">
        <v>420</v>
      </c>
      <c r="E252">
        <v>40</v>
      </c>
      <c r="F252" t="str">
        <f t="shared" si="28"/>
        <v>36-45</v>
      </c>
      <c r="G252" t="s">
        <v>108</v>
      </c>
      <c r="H252" t="s">
        <v>28</v>
      </c>
      <c r="I252" t="s">
        <v>419</v>
      </c>
      <c r="J252" t="str">
        <f t="shared" si="29"/>
        <v>gmail.com</v>
      </c>
      <c r="K252" t="s">
        <v>418</v>
      </c>
      <c r="L252" t="s">
        <v>1228</v>
      </c>
      <c r="M252" s="2">
        <v>45531</v>
      </c>
      <c r="N252" t="s">
        <v>1227</v>
      </c>
      <c r="O252" t="s">
        <v>519</v>
      </c>
      <c r="P252">
        <v>136.30000000000001</v>
      </c>
      <c r="Q252">
        <v>2</v>
      </c>
      <c r="R252" t="s">
        <v>34</v>
      </c>
      <c r="S252" s="5">
        <v>8</v>
      </c>
      <c r="T252" s="3">
        <v>6</v>
      </c>
      <c r="U252" s="4" t="str">
        <f t="shared" si="30"/>
        <v>Before_time</v>
      </c>
      <c r="V252">
        <v>58</v>
      </c>
      <c r="W252" s="3">
        <f t="shared" si="31"/>
        <v>2</v>
      </c>
      <c r="X252" s="2">
        <v>45533</v>
      </c>
      <c r="Y252" s="1">
        <f>YEAR(Table2[[#This Row],[Delivery_Date]])</f>
        <v>2024</v>
      </c>
      <c r="Z252" s="2" t="str">
        <f t="shared" si="32"/>
        <v>Aug</v>
      </c>
      <c r="AA252" t="s">
        <v>1226</v>
      </c>
      <c r="AB252">
        <f t="shared" si="33"/>
        <v>308.79200000000003</v>
      </c>
      <c r="AC252">
        <f>Table2[[#This Row],[Price]]*Table2[[#This Row],[Quantity]]*Table2[[#This Row],[COUPON %]]/100</f>
        <v>21.808000000000003</v>
      </c>
      <c r="AD252">
        <f t="shared" si="34"/>
        <v>250.79200000000003</v>
      </c>
      <c r="AE252" s="1">
        <f t="shared" si="35"/>
        <v>272.60000000000002</v>
      </c>
    </row>
    <row r="253" spans="1:31" x14ac:dyDescent="0.25">
      <c r="A253" t="s">
        <v>433</v>
      </c>
      <c r="B253" t="str">
        <f t="shared" si="27"/>
        <v xml:space="preserve">Jodi Whitney </v>
      </c>
      <c r="C253" t="s">
        <v>432</v>
      </c>
      <c r="D253" t="s">
        <v>431</v>
      </c>
      <c r="E253">
        <v>33</v>
      </c>
      <c r="F253" t="str">
        <f t="shared" si="28"/>
        <v>26-35</v>
      </c>
      <c r="G253" t="s">
        <v>8</v>
      </c>
      <c r="H253" t="s">
        <v>79</v>
      </c>
      <c r="I253" t="s">
        <v>430</v>
      </c>
      <c r="J253" t="str">
        <f t="shared" si="29"/>
        <v>yahoo.com</v>
      </c>
      <c r="K253" t="s">
        <v>429</v>
      </c>
      <c r="L253" t="s">
        <v>1225</v>
      </c>
      <c r="M253" s="2">
        <v>45383</v>
      </c>
      <c r="N253" t="s">
        <v>1224</v>
      </c>
      <c r="O253" t="s">
        <v>273</v>
      </c>
      <c r="P253">
        <v>403.03</v>
      </c>
      <c r="Q253">
        <v>3</v>
      </c>
      <c r="R253" t="s">
        <v>93</v>
      </c>
      <c r="S253" s="5">
        <v>15</v>
      </c>
      <c r="T253" s="3">
        <v>5</v>
      </c>
      <c r="U253" s="4" t="str">
        <f t="shared" si="30"/>
        <v>Before_time</v>
      </c>
      <c r="V253">
        <v>44</v>
      </c>
      <c r="W253" s="3">
        <f t="shared" si="31"/>
        <v>1</v>
      </c>
      <c r="X253" s="2">
        <v>45384</v>
      </c>
      <c r="Y253" s="1">
        <f>YEAR(Table2[[#This Row],[Delivery_Date]])</f>
        <v>2024</v>
      </c>
      <c r="Z253" s="2" t="str">
        <f t="shared" si="32"/>
        <v>Apr</v>
      </c>
      <c r="AA253" t="s">
        <v>1223</v>
      </c>
      <c r="AB253">
        <f t="shared" si="33"/>
        <v>1071.7265</v>
      </c>
      <c r="AC253">
        <f>Table2[[#This Row],[Price]]*Table2[[#This Row],[Quantity]]*Table2[[#This Row],[COUPON %]]/100</f>
        <v>181.36349999999999</v>
      </c>
      <c r="AD253">
        <f t="shared" si="34"/>
        <v>1027.7265</v>
      </c>
      <c r="AE253" s="1">
        <f t="shared" si="35"/>
        <v>1209.0899999999999</v>
      </c>
    </row>
    <row r="254" spans="1:31" x14ac:dyDescent="0.25">
      <c r="A254" t="s">
        <v>924</v>
      </c>
      <c r="B254" t="str">
        <f t="shared" si="27"/>
        <v xml:space="preserve">Natasha Michael </v>
      </c>
      <c r="C254" t="s">
        <v>923</v>
      </c>
      <c r="D254" t="s">
        <v>922</v>
      </c>
      <c r="E254">
        <v>49</v>
      </c>
      <c r="F254" t="str">
        <f t="shared" si="28"/>
        <v>&gt;45</v>
      </c>
      <c r="G254" t="s">
        <v>108</v>
      </c>
      <c r="H254" t="s">
        <v>7</v>
      </c>
      <c r="I254" t="s">
        <v>921</v>
      </c>
      <c r="J254" t="str">
        <f t="shared" si="29"/>
        <v>gmail.com</v>
      </c>
      <c r="K254" t="s">
        <v>920</v>
      </c>
      <c r="L254" t="s">
        <v>1222</v>
      </c>
      <c r="M254" s="2">
        <v>45233</v>
      </c>
      <c r="N254" t="s">
        <v>1221</v>
      </c>
      <c r="O254" t="s">
        <v>312</v>
      </c>
      <c r="P254">
        <v>381.73</v>
      </c>
      <c r="Q254">
        <v>5</v>
      </c>
      <c r="R254" t="s">
        <v>34</v>
      </c>
      <c r="S254" s="5">
        <v>8</v>
      </c>
      <c r="T254" s="3">
        <v>7</v>
      </c>
      <c r="U254" s="4" t="str">
        <f t="shared" si="30"/>
        <v>Before_time</v>
      </c>
      <c r="V254">
        <v>45</v>
      </c>
      <c r="W254" s="3">
        <f t="shared" si="31"/>
        <v>3</v>
      </c>
      <c r="X254" s="2">
        <v>45236</v>
      </c>
      <c r="Y254" s="1">
        <f>YEAR(Table2[[#This Row],[Delivery_Date]])</f>
        <v>2023</v>
      </c>
      <c r="Z254" s="2" t="str">
        <f t="shared" si="32"/>
        <v>Nov</v>
      </c>
      <c r="AA254" t="s">
        <v>1220</v>
      </c>
      <c r="AB254">
        <f t="shared" si="33"/>
        <v>1800.9580000000001</v>
      </c>
      <c r="AC254">
        <f>Table2[[#This Row],[Price]]*Table2[[#This Row],[Quantity]]*Table2[[#This Row],[COUPON %]]/100</f>
        <v>152.69200000000001</v>
      </c>
      <c r="AD254">
        <f t="shared" si="34"/>
        <v>1755.9580000000001</v>
      </c>
      <c r="AE254" s="1">
        <f t="shared" si="35"/>
        <v>1908.65</v>
      </c>
    </row>
    <row r="255" spans="1:31" x14ac:dyDescent="0.25">
      <c r="A255" t="s">
        <v>727</v>
      </c>
      <c r="B255" t="str">
        <f t="shared" si="27"/>
        <v xml:space="preserve">Rachael Robinson </v>
      </c>
      <c r="C255" t="s">
        <v>726</v>
      </c>
      <c r="D255" t="s">
        <v>725</v>
      </c>
      <c r="E255">
        <v>24</v>
      </c>
      <c r="F255" t="str">
        <f t="shared" si="28"/>
        <v>0-25</v>
      </c>
      <c r="G255" t="s">
        <v>8</v>
      </c>
      <c r="H255" t="s">
        <v>18</v>
      </c>
      <c r="I255" t="s">
        <v>724</v>
      </c>
      <c r="J255" t="str">
        <f t="shared" si="29"/>
        <v>rediffmail.com</v>
      </c>
      <c r="K255" t="s">
        <v>723</v>
      </c>
      <c r="L255" t="s">
        <v>1219</v>
      </c>
      <c r="M255" s="2">
        <v>45668</v>
      </c>
      <c r="N255" t="s">
        <v>1218</v>
      </c>
      <c r="O255" t="s">
        <v>312</v>
      </c>
      <c r="P255">
        <v>381.73</v>
      </c>
      <c r="Q255">
        <v>1</v>
      </c>
      <c r="R255" t="s">
        <v>34</v>
      </c>
      <c r="S255" s="5">
        <v>8</v>
      </c>
      <c r="T255" s="3">
        <v>3</v>
      </c>
      <c r="U255" s="4" t="str">
        <f t="shared" si="30"/>
        <v>Late_Delivery</v>
      </c>
      <c r="V255">
        <v>36</v>
      </c>
      <c r="W255" s="3">
        <f t="shared" si="31"/>
        <v>7</v>
      </c>
      <c r="X255" s="2">
        <v>45675</v>
      </c>
      <c r="Y255" s="1">
        <f>YEAR(Table2[[#This Row],[Delivery_Date]])</f>
        <v>2025</v>
      </c>
      <c r="Z255" s="2" t="str">
        <f t="shared" si="32"/>
        <v>Jan</v>
      </c>
      <c r="AA255" t="s">
        <v>1217</v>
      </c>
      <c r="AB255">
        <f t="shared" si="33"/>
        <v>387.19160000000005</v>
      </c>
      <c r="AC255">
        <f>Table2[[#This Row],[Price]]*Table2[[#This Row],[Quantity]]*Table2[[#This Row],[COUPON %]]/100</f>
        <v>30.538400000000003</v>
      </c>
      <c r="AD255">
        <f t="shared" si="34"/>
        <v>351.19160000000005</v>
      </c>
      <c r="AE255" s="1">
        <f t="shared" si="35"/>
        <v>381.73</v>
      </c>
    </row>
    <row r="256" spans="1:31" x14ac:dyDescent="0.25">
      <c r="A256" t="s">
        <v>945</v>
      </c>
      <c r="B256" t="str">
        <f t="shared" si="27"/>
        <v xml:space="preserve">Rebecca Figueroa </v>
      </c>
      <c r="C256" t="s">
        <v>944</v>
      </c>
      <c r="D256" t="s">
        <v>943</v>
      </c>
      <c r="E256">
        <v>63</v>
      </c>
      <c r="F256" t="str">
        <f t="shared" si="28"/>
        <v>&gt;45</v>
      </c>
      <c r="G256" t="s">
        <v>108</v>
      </c>
      <c r="H256" t="s">
        <v>59</v>
      </c>
      <c r="I256" t="s">
        <v>942</v>
      </c>
      <c r="J256" t="str">
        <f t="shared" si="29"/>
        <v>outlook.com</v>
      </c>
      <c r="K256" t="s">
        <v>941</v>
      </c>
      <c r="L256" t="s">
        <v>1216</v>
      </c>
      <c r="M256" s="2">
        <v>45457</v>
      </c>
      <c r="N256" t="s">
        <v>1215</v>
      </c>
      <c r="O256" t="s">
        <v>494</v>
      </c>
      <c r="P256">
        <v>425.59</v>
      </c>
      <c r="Q256">
        <v>1</v>
      </c>
      <c r="R256" t="s">
        <v>64</v>
      </c>
      <c r="S256" s="5">
        <v>20</v>
      </c>
      <c r="T256" s="3">
        <v>7</v>
      </c>
      <c r="U256" s="4" t="str">
        <f t="shared" si="30"/>
        <v>Before_time</v>
      </c>
      <c r="V256">
        <v>40</v>
      </c>
      <c r="W256" s="3">
        <f t="shared" si="31"/>
        <v>3</v>
      </c>
      <c r="X256" s="2">
        <v>45460</v>
      </c>
      <c r="Y256" s="1">
        <f>YEAR(Table2[[#This Row],[Delivery_Date]])</f>
        <v>2024</v>
      </c>
      <c r="Z256" s="2" t="str">
        <f t="shared" si="32"/>
        <v>Jun</v>
      </c>
      <c r="AA256" t="s">
        <v>1214</v>
      </c>
      <c r="AB256">
        <f t="shared" si="33"/>
        <v>380.47199999999998</v>
      </c>
      <c r="AC256">
        <f>Table2[[#This Row],[Price]]*Table2[[#This Row],[Quantity]]*Table2[[#This Row],[COUPON %]]/100</f>
        <v>85.117999999999995</v>
      </c>
      <c r="AD256">
        <f t="shared" si="34"/>
        <v>340.47199999999998</v>
      </c>
      <c r="AE256" s="1">
        <f t="shared" si="35"/>
        <v>425.59</v>
      </c>
    </row>
    <row r="257" spans="1:31" x14ac:dyDescent="0.25">
      <c r="A257" t="s">
        <v>1187</v>
      </c>
      <c r="B257" t="str">
        <f t="shared" si="27"/>
        <v xml:space="preserve">Lauren Long </v>
      </c>
      <c r="C257" t="s">
        <v>254</v>
      </c>
      <c r="D257" t="s">
        <v>1186</v>
      </c>
      <c r="E257">
        <v>44</v>
      </c>
      <c r="F257" t="str">
        <f t="shared" si="28"/>
        <v>36-45</v>
      </c>
      <c r="G257" t="s">
        <v>108</v>
      </c>
      <c r="H257" t="s">
        <v>18</v>
      </c>
      <c r="I257" t="s">
        <v>1185</v>
      </c>
      <c r="J257" t="str">
        <f t="shared" si="29"/>
        <v>gmail.com</v>
      </c>
      <c r="K257" t="s">
        <v>1184</v>
      </c>
      <c r="L257" t="s">
        <v>1213</v>
      </c>
      <c r="M257" s="2">
        <v>45659</v>
      </c>
      <c r="N257" t="s">
        <v>1212</v>
      </c>
      <c r="O257" t="s">
        <v>149</v>
      </c>
      <c r="P257">
        <v>481.48</v>
      </c>
      <c r="Q257">
        <v>4</v>
      </c>
      <c r="R257" t="s">
        <v>93</v>
      </c>
      <c r="S257" s="5">
        <v>15</v>
      </c>
      <c r="T257" s="3">
        <v>4</v>
      </c>
      <c r="U257" s="4" t="str">
        <f t="shared" si="30"/>
        <v>Late_Delivery</v>
      </c>
      <c r="V257">
        <v>67</v>
      </c>
      <c r="W257" s="3">
        <f t="shared" si="31"/>
        <v>6</v>
      </c>
      <c r="X257" s="2">
        <v>45665</v>
      </c>
      <c r="Y257" s="1">
        <f>YEAR(Table2[[#This Row],[Delivery_Date]])</f>
        <v>2025</v>
      </c>
      <c r="Z257" s="2" t="str">
        <f t="shared" si="32"/>
        <v>Jan</v>
      </c>
      <c r="AA257" t="s">
        <v>1211</v>
      </c>
      <c r="AB257">
        <f t="shared" si="33"/>
        <v>1704.0319999999999</v>
      </c>
      <c r="AC257">
        <f>Table2[[#This Row],[Price]]*Table2[[#This Row],[Quantity]]*Table2[[#This Row],[COUPON %]]/100</f>
        <v>288.88800000000003</v>
      </c>
      <c r="AD257">
        <f t="shared" si="34"/>
        <v>1637.0319999999999</v>
      </c>
      <c r="AE257" s="1">
        <f t="shared" si="35"/>
        <v>1925.92</v>
      </c>
    </row>
    <row r="258" spans="1:31" x14ac:dyDescent="0.25">
      <c r="A258" t="s">
        <v>761</v>
      </c>
      <c r="B258" t="str">
        <f t="shared" ref="B258:B321" si="36">CONCATENATE(C258," ", D258," ")</f>
        <v xml:space="preserve">Joshua Campbell </v>
      </c>
      <c r="C258" t="s">
        <v>760</v>
      </c>
      <c r="D258" t="s">
        <v>759</v>
      </c>
      <c r="E258">
        <v>24</v>
      </c>
      <c r="F258" t="str">
        <f t="shared" ref="F258:F321" si="37">IF(E258&lt;=25,"0-25",IF(E258&lt;=35,"26-35",IF(E258&lt;=45,"36-45","&gt;45")))</f>
        <v>0-25</v>
      </c>
      <c r="G258" t="s">
        <v>108</v>
      </c>
      <c r="H258" t="s">
        <v>40</v>
      </c>
      <c r="I258" t="s">
        <v>758</v>
      </c>
      <c r="J258" t="str">
        <f t="shared" ref="J258:J321" si="38">MID(I258,FIND("@",I258)+1,100)</f>
        <v>gmail.com</v>
      </c>
      <c r="K258" t="s">
        <v>757</v>
      </c>
      <c r="L258" t="s">
        <v>1210</v>
      </c>
      <c r="M258" s="2">
        <v>45512</v>
      </c>
      <c r="N258" t="s">
        <v>1209</v>
      </c>
      <c r="O258" t="s">
        <v>667</v>
      </c>
      <c r="P258">
        <v>421.7</v>
      </c>
      <c r="Q258">
        <v>2</v>
      </c>
      <c r="R258" t="s">
        <v>166</v>
      </c>
      <c r="S258" s="5">
        <v>10</v>
      </c>
      <c r="T258" s="3">
        <v>2</v>
      </c>
      <c r="U258" s="4" t="str">
        <f t="shared" ref="U258:U321" si="39">IF(W258&lt;T258,"Before_time",IF(W258&gt;T258,"Late_Delivery","On_time"))</f>
        <v>On_time</v>
      </c>
      <c r="V258">
        <v>54</v>
      </c>
      <c r="W258" s="3">
        <f t="shared" ref="W258:W321" si="40">DATEDIF(M258,X258,"D")</f>
        <v>2</v>
      </c>
      <c r="X258" s="2">
        <v>45514</v>
      </c>
      <c r="Y258" s="1">
        <f>YEAR(Table2[[#This Row],[Delivery_Date]])</f>
        <v>2024</v>
      </c>
      <c r="Z258" s="2" t="str">
        <f t="shared" ref="Z258:Z321" si="41">TEXT(X258,"mmm")</f>
        <v>Aug</v>
      </c>
      <c r="AA258" t="s">
        <v>1208</v>
      </c>
      <c r="AB258">
        <f t="shared" ref="AB258:AB321" si="42">AD258+V258</f>
        <v>813.06</v>
      </c>
      <c r="AC258">
        <f>Table2[[#This Row],[Price]]*Table2[[#This Row],[Quantity]]*Table2[[#This Row],[COUPON %]]/100</f>
        <v>84.34</v>
      </c>
      <c r="AD258">
        <f t="shared" ref="AD258:AD321" si="43">P258*Q258*(1-S258/100)</f>
        <v>759.06</v>
      </c>
      <c r="AE258" s="1">
        <f t="shared" ref="AE258:AE321" si="44">P258*Q258</f>
        <v>843.4</v>
      </c>
    </row>
    <row r="259" spans="1:31" x14ac:dyDescent="0.25">
      <c r="A259" t="s">
        <v>1195</v>
      </c>
      <c r="B259" t="str">
        <f t="shared" si="36"/>
        <v xml:space="preserve">Valerie Carr </v>
      </c>
      <c r="C259" t="s">
        <v>1194</v>
      </c>
      <c r="D259" t="s">
        <v>1193</v>
      </c>
      <c r="E259">
        <v>26</v>
      </c>
      <c r="F259" t="str">
        <f t="shared" si="37"/>
        <v>26-35</v>
      </c>
      <c r="G259" t="s">
        <v>8</v>
      </c>
      <c r="H259" t="s">
        <v>79</v>
      </c>
      <c r="I259" t="s">
        <v>1192</v>
      </c>
      <c r="J259" t="str">
        <f t="shared" si="38"/>
        <v>rediffmail.com</v>
      </c>
      <c r="K259" t="s">
        <v>1191</v>
      </c>
      <c r="L259" t="s">
        <v>1207</v>
      </c>
      <c r="M259" s="2">
        <v>45393</v>
      </c>
      <c r="N259" t="s">
        <v>1206</v>
      </c>
      <c r="O259" t="s">
        <v>1166</v>
      </c>
      <c r="P259">
        <v>110.95</v>
      </c>
      <c r="Q259">
        <v>3</v>
      </c>
      <c r="R259" t="s">
        <v>1</v>
      </c>
      <c r="S259" s="5">
        <v>0</v>
      </c>
      <c r="T259" s="3">
        <v>5</v>
      </c>
      <c r="U259" s="4" t="str">
        <f t="shared" si="39"/>
        <v>Late_Delivery</v>
      </c>
      <c r="V259">
        <v>47</v>
      </c>
      <c r="W259" s="3">
        <f t="shared" si="40"/>
        <v>6</v>
      </c>
      <c r="X259" s="2">
        <v>45399</v>
      </c>
      <c r="Y259" s="1">
        <f>YEAR(Table2[[#This Row],[Delivery_Date]])</f>
        <v>2024</v>
      </c>
      <c r="Z259" s="2" t="str">
        <f t="shared" si="41"/>
        <v>Apr</v>
      </c>
      <c r="AA259" t="s">
        <v>1205</v>
      </c>
      <c r="AB259">
        <f t="shared" si="42"/>
        <v>379.85</v>
      </c>
      <c r="AC259">
        <f>Table2[[#This Row],[Price]]*Table2[[#This Row],[Quantity]]*Table2[[#This Row],[COUPON %]]/100</f>
        <v>0</v>
      </c>
      <c r="AD259">
        <f t="shared" si="43"/>
        <v>332.85</v>
      </c>
      <c r="AE259" s="1">
        <f t="shared" si="44"/>
        <v>332.85</v>
      </c>
    </row>
    <row r="260" spans="1:31" x14ac:dyDescent="0.25">
      <c r="A260" t="s">
        <v>557</v>
      </c>
      <c r="B260" t="str">
        <f t="shared" si="36"/>
        <v xml:space="preserve">Sarah Butler </v>
      </c>
      <c r="C260" t="s">
        <v>556</v>
      </c>
      <c r="D260" t="s">
        <v>555</v>
      </c>
      <c r="E260">
        <v>64</v>
      </c>
      <c r="F260" t="str">
        <f t="shared" si="37"/>
        <v>&gt;45</v>
      </c>
      <c r="G260" t="s">
        <v>108</v>
      </c>
      <c r="H260" t="s">
        <v>107</v>
      </c>
      <c r="I260" t="s">
        <v>554</v>
      </c>
      <c r="J260" t="str">
        <f t="shared" si="38"/>
        <v>rediffmail.com</v>
      </c>
      <c r="K260" t="s">
        <v>553</v>
      </c>
      <c r="L260" t="s">
        <v>1204</v>
      </c>
      <c r="M260" s="2">
        <v>45188</v>
      </c>
      <c r="N260" t="s">
        <v>1203</v>
      </c>
      <c r="O260" t="s">
        <v>615</v>
      </c>
      <c r="P260">
        <v>282.63</v>
      </c>
      <c r="Q260">
        <v>4</v>
      </c>
      <c r="R260" t="s">
        <v>166</v>
      </c>
      <c r="S260" s="5">
        <v>10</v>
      </c>
      <c r="T260" s="3">
        <v>3</v>
      </c>
      <c r="U260" s="4" t="str">
        <f t="shared" si="39"/>
        <v>On_time</v>
      </c>
      <c r="V260">
        <v>52</v>
      </c>
      <c r="W260" s="3">
        <f t="shared" si="40"/>
        <v>3</v>
      </c>
      <c r="X260" s="2">
        <v>45191</v>
      </c>
      <c r="Y260" s="1">
        <f>YEAR(Table2[[#This Row],[Delivery_Date]])</f>
        <v>2023</v>
      </c>
      <c r="Z260" s="2" t="str">
        <f t="shared" si="41"/>
        <v>Sep</v>
      </c>
      <c r="AA260" t="s">
        <v>1202</v>
      </c>
      <c r="AB260">
        <f t="shared" si="42"/>
        <v>1069.4679999999998</v>
      </c>
      <c r="AC260">
        <f>Table2[[#This Row],[Price]]*Table2[[#This Row],[Quantity]]*Table2[[#This Row],[COUPON %]]/100</f>
        <v>113.05200000000001</v>
      </c>
      <c r="AD260">
        <f t="shared" si="43"/>
        <v>1017.468</v>
      </c>
      <c r="AE260" s="1">
        <f t="shared" si="44"/>
        <v>1130.52</v>
      </c>
    </row>
    <row r="261" spans="1:31" x14ac:dyDescent="0.25">
      <c r="A261" t="s">
        <v>827</v>
      </c>
      <c r="B261" t="str">
        <f t="shared" si="36"/>
        <v xml:space="preserve">Susan Thompson </v>
      </c>
      <c r="C261" t="s">
        <v>826</v>
      </c>
      <c r="D261" t="s">
        <v>119</v>
      </c>
      <c r="E261">
        <v>37</v>
      </c>
      <c r="F261" t="str">
        <f t="shared" si="37"/>
        <v>36-45</v>
      </c>
      <c r="G261" t="s">
        <v>8</v>
      </c>
      <c r="H261" t="s">
        <v>18</v>
      </c>
      <c r="I261" t="s">
        <v>825</v>
      </c>
      <c r="J261" t="str">
        <f t="shared" si="38"/>
        <v>outlook.com</v>
      </c>
      <c r="K261" t="s">
        <v>824</v>
      </c>
      <c r="L261" t="s">
        <v>1201</v>
      </c>
      <c r="M261" s="2">
        <v>45335</v>
      </c>
      <c r="N261" t="s">
        <v>1200</v>
      </c>
      <c r="O261" t="s">
        <v>190</v>
      </c>
      <c r="P261">
        <v>158.53</v>
      </c>
      <c r="Q261">
        <v>3</v>
      </c>
      <c r="R261" t="s">
        <v>166</v>
      </c>
      <c r="S261" s="5">
        <v>10</v>
      </c>
      <c r="T261" s="3">
        <v>3</v>
      </c>
      <c r="U261" s="4" t="str">
        <f t="shared" si="39"/>
        <v>Before_time</v>
      </c>
      <c r="V261">
        <v>63</v>
      </c>
      <c r="W261" s="3">
        <f t="shared" si="40"/>
        <v>1</v>
      </c>
      <c r="X261" s="2">
        <v>45336</v>
      </c>
      <c r="Y261" s="1">
        <f>YEAR(Table2[[#This Row],[Delivery_Date]])</f>
        <v>2024</v>
      </c>
      <c r="Z261" s="2" t="str">
        <f t="shared" si="41"/>
        <v>Feb</v>
      </c>
      <c r="AA261" t="s">
        <v>1199</v>
      </c>
      <c r="AB261">
        <f t="shared" si="42"/>
        <v>491.03100000000006</v>
      </c>
      <c r="AC261">
        <f>Table2[[#This Row],[Price]]*Table2[[#This Row],[Quantity]]*Table2[[#This Row],[COUPON %]]/100</f>
        <v>47.559000000000005</v>
      </c>
      <c r="AD261">
        <f t="shared" si="43"/>
        <v>428.03100000000006</v>
      </c>
      <c r="AE261" s="1">
        <f t="shared" si="44"/>
        <v>475.59000000000003</v>
      </c>
    </row>
    <row r="262" spans="1:31" x14ac:dyDescent="0.25">
      <c r="A262" t="s">
        <v>801</v>
      </c>
      <c r="B262" t="str">
        <f t="shared" si="36"/>
        <v xml:space="preserve">Mark Summers </v>
      </c>
      <c r="C262" t="s">
        <v>51</v>
      </c>
      <c r="D262" t="s">
        <v>800</v>
      </c>
      <c r="E262">
        <v>55</v>
      </c>
      <c r="F262" t="str">
        <f t="shared" si="37"/>
        <v>&gt;45</v>
      </c>
      <c r="G262" t="s">
        <v>29</v>
      </c>
      <c r="H262" t="s">
        <v>40</v>
      </c>
      <c r="I262" t="s">
        <v>799</v>
      </c>
      <c r="J262" t="str">
        <f t="shared" si="38"/>
        <v>outlook.com</v>
      </c>
      <c r="K262" t="s">
        <v>798</v>
      </c>
      <c r="L262" t="s">
        <v>1198</v>
      </c>
      <c r="M262" s="2">
        <v>45026</v>
      </c>
      <c r="N262" t="s">
        <v>1197</v>
      </c>
      <c r="O262" t="s">
        <v>84</v>
      </c>
      <c r="P262">
        <v>62.42</v>
      </c>
      <c r="Q262">
        <v>3</v>
      </c>
      <c r="R262" t="s">
        <v>34</v>
      </c>
      <c r="S262" s="5">
        <v>8</v>
      </c>
      <c r="T262" s="3">
        <v>3</v>
      </c>
      <c r="U262" s="4" t="str">
        <f t="shared" si="39"/>
        <v>Late_Delivery</v>
      </c>
      <c r="V262">
        <v>37</v>
      </c>
      <c r="W262" s="3">
        <f t="shared" si="40"/>
        <v>5</v>
      </c>
      <c r="X262" s="2">
        <v>45031</v>
      </c>
      <c r="Y262" s="1">
        <f>YEAR(Table2[[#This Row],[Delivery_Date]])</f>
        <v>2023</v>
      </c>
      <c r="Z262" s="2" t="str">
        <f t="shared" si="41"/>
        <v>Apr</v>
      </c>
      <c r="AA262" t="s">
        <v>1196</v>
      </c>
      <c r="AB262">
        <f t="shared" si="42"/>
        <v>209.2792</v>
      </c>
      <c r="AC262">
        <f>Table2[[#This Row],[Price]]*Table2[[#This Row],[Quantity]]*Table2[[#This Row],[COUPON %]]/100</f>
        <v>14.980799999999999</v>
      </c>
      <c r="AD262">
        <f t="shared" si="43"/>
        <v>172.2792</v>
      </c>
      <c r="AE262" s="1">
        <f t="shared" si="44"/>
        <v>187.26</v>
      </c>
    </row>
    <row r="263" spans="1:31" x14ac:dyDescent="0.25">
      <c r="A263" t="s">
        <v>1195</v>
      </c>
      <c r="B263" t="str">
        <f t="shared" si="36"/>
        <v xml:space="preserve">Valerie Carr </v>
      </c>
      <c r="C263" t="s">
        <v>1194</v>
      </c>
      <c r="D263" t="s">
        <v>1193</v>
      </c>
      <c r="E263">
        <v>26</v>
      </c>
      <c r="F263" t="str">
        <f t="shared" si="37"/>
        <v>26-35</v>
      </c>
      <c r="G263" t="s">
        <v>8</v>
      </c>
      <c r="H263" t="s">
        <v>79</v>
      </c>
      <c r="I263" t="s">
        <v>1192</v>
      </c>
      <c r="J263" t="str">
        <f t="shared" si="38"/>
        <v>rediffmail.com</v>
      </c>
      <c r="K263" t="s">
        <v>1191</v>
      </c>
      <c r="L263" t="s">
        <v>1190</v>
      </c>
      <c r="M263" s="2">
        <v>45454</v>
      </c>
      <c r="N263" t="s">
        <v>1189</v>
      </c>
      <c r="O263" t="s">
        <v>299</v>
      </c>
      <c r="P263">
        <v>235.63</v>
      </c>
      <c r="Q263">
        <v>2</v>
      </c>
      <c r="R263" t="s">
        <v>93</v>
      </c>
      <c r="S263" s="5">
        <v>15</v>
      </c>
      <c r="T263" s="3">
        <v>4</v>
      </c>
      <c r="U263" s="4" t="str">
        <f t="shared" si="39"/>
        <v>On_time</v>
      </c>
      <c r="V263">
        <v>44</v>
      </c>
      <c r="W263" s="3">
        <f t="shared" si="40"/>
        <v>4</v>
      </c>
      <c r="X263" s="2">
        <v>45458</v>
      </c>
      <c r="Y263" s="1">
        <f>YEAR(Table2[[#This Row],[Delivery_Date]])</f>
        <v>2024</v>
      </c>
      <c r="Z263" s="2" t="str">
        <f t="shared" si="41"/>
        <v>Jun</v>
      </c>
      <c r="AA263" t="s">
        <v>1188</v>
      </c>
      <c r="AB263">
        <f t="shared" si="42"/>
        <v>444.57099999999997</v>
      </c>
      <c r="AC263">
        <f>Table2[[#This Row],[Price]]*Table2[[#This Row],[Quantity]]*Table2[[#This Row],[COUPON %]]/100</f>
        <v>70.688999999999993</v>
      </c>
      <c r="AD263">
        <f t="shared" si="43"/>
        <v>400.57099999999997</v>
      </c>
      <c r="AE263" s="1">
        <f t="shared" si="44"/>
        <v>471.26</v>
      </c>
    </row>
    <row r="264" spans="1:31" x14ac:dyDescent="0.25">
      <c r="A264" t="s">
        <v>1187</v>
      </c>
      <c r="B264" t="str">
        <f t="shared" si="36"/>
        <v xml:space="preserve">Lauren Long </v>
      </c>
      <c r="C264" t="s">
        <v>254</v>
      </c>
      <c r="D264" t="s">
        <v>1186</v>
      </c>
      <c r="E264">
        <v>44</v>
      </c>
      <c r="F264" t="str">
        <f t="shared" si="37"/>
        <v>36-45</v>
      </c>
      <c r="G264" t="s">
        <v>108</v>
      </c>
      <c r="H264" t="s">
        <v>18</v>
      </c>
      <c r="I264" t="s">
        <v>1185</v>
      </c>
      <c r="J264" t="str">
        <f t="shared" si="38"/>
        <v>gmail.com</v>
      </c>
      <c r="K264" t="s">
        <v>1184</v>
      </c>
      <c r="L264" t="s">
        <v>1183</v>
      </c>
      <c r="M264" s="2">
        <v>45547</v>
      </c>
      <c r="N264" t="s">
        <v>1182</v>
      </c>
      <c r="O264" t="s">
        <v>347</v>
      </c>
      <c r="P264">
        <v>157.63999999999999</v>
      </c>
      <c r="Q264">
        <v>2</v>
      </c>
      <c r="R264" t="s">
        <v>34</v>
      </c>
      <c r="S264" s="5">
        <v>8</v>
      </c>
      <c r="T264" s="3">
        <v>1</v>
      </c>
      <c r="U264" s="4" t="str">
        <f t="shared" si="39"/>
        <v>Late_Delivery</v>
      </c>
      <c r="V264">
        <v>56</v>
      </c>
      <c r="W264" s="3">
        <f t="shared" si="40"/>
        <v>5</v>
      </c>
      <c r="X264" s="2">
        <v>45552</v>
      </c>
      <c r="Y264" s="1">
        <f>YEAR(Table2[[#This Row],[Delivery_Date]])</f>
        <v>2024</v>
      </c>
      <c r="Z264" s="2" t="str">
        <f t="shared" si="41"/>
        <v>Sep</v>
      </c>
      <c r="AA264" t="s">
        <v>1181</v>
      </c>
      <c r="AB264">
        <f t="shared" si="42"/>
        <v>346.05759999999998</v>
      </c>
      <c r="AC264">
        <f>Table2[[#This Row],[Price]]*Table2[[#This Row],[Quantity]]*Table2[[#This Row],[COUPON %]]/100</f>
        <v>25.222399999999997</v>
      </c>
      <c r="AD264">
        <f t="shared" si="43"/>
        <v>290.05759999999998</v>
      </c>
      <c r="AE264" s="1">
        <f t="shared" si="44"/>
        <v>315.27999999999997</v>
      </c>
    </row>
    <row r="265" spans="1:31" x14ac:dyDescent="0.25">
      <c r="A265" t="s">
        <v>937</v>
      </c>
      <c r="B265" t="str">
        <f t="shared" si="36"/>
        <v xml:space="preserve">Ashley Rose </v>
      </c>
      <c r="C265" t="s">
        <v>110</v>
      </c>
      <c r="D265" t="s">
        <v>936</v>
      </c>
      <c r="E265">
        <v>60</v>
      </c>
      <c r="F265" t="str">
        <f t="shared" si="37"/>
        <v>&gt;45</v>
      </c>
      <c r="G265" t="s">
        <v>8</v>
      </c>
      <c r="H265" t="s">
        <v>107</v>
      </c>
      <c r="I265" t="s">
        <v>935</v>
      </c>
      <c r="J265" t="str">
        <f t="shared" si="38"/>
        <v>gmail.com</v>
      </c>
      <c r="K265" t="s">
        <v>934</v>
      </c>
      <c r="L265" t="s">
        <v>1180</v>
      </c>
      <c r="M265" s="2">
        <v>44996</v>
      </c>
      <c r="N265" t="s">
        <v>1179</v>
      </c>
      <c r="O265" t="s">
        <v>290</v>
      </c>
      <c r="P265">
        <v>372.62</v>
      </c>
      <c r="Q265">
        <v>4</v>
      </c>
      <c r="R265" t="s">
        <v>93</v>
      </c>
      <c r="S265" s="5">
        <v>15</v>
      </c>
      <c r="T265" s="3">
        <v>2</v>
      </c>
      <c r="U265" s="4" t="str">
        <f t="shared" si="39"/>
        <v>Late_Delivery</v>
      </c>
      <c r="V265">
        <v>42</v>
      </c>
      <c r="W265" s="3">
        <f t="shared" si="40"/>
        <v>5</v>
      </c>
      <c r="X265" s="2">
        <v>45001</v>
      </c>
      <c r="Y265" s="1">
        <f>YEAR(Table2[[#This Row],[Delivery_Date]])</f>
        <v>2023</v>
      </c>
      <c r="Z265" s="2" t="str">
        <f t="shared" si="41"/>
        <v>Mar</v>
      </c>
      <c r="AA265" t="s">
        <v>1178</v>
      </c>
      <c r="AB265">
        <f t="shared" si="42"/>
        <v>1308.9079999999999</v>
      </c>
      <c r="AC265">
        <f>Table2[[#This Row],[Price]]*Table2[[#This Row],[Quantity]]*Table2[[#This Row],[COUPON %]]/100</f>
        <v>223.572</v>
      </c>
      <c r="AD265">
        <f t="shared" si="43"/>
        <v>1266.9079999999999</v>
      </c>
      <c r="AE265" s="1">
        <f t="shared" si="44"/>
        <v>1490.48</v>
      </c>
    </row>
    <row r="266" spans="1:31" x14ac:dyDescent="0.25">
      <c r="A266" t="s">
        <v>846</v>
      </c>
      <c r="B266" t="str">
        <f t="shared" si="36"/>
        <v xml:space="preserve">Brendan Kelly </v>
      </c>
      <c r="C266" t="s">
        <v>845</v>
      </c>
      <c r="D266" t="s">
        <v>844</v>
      </c>
      <c r="E266">
        <v>50</v>
      </c>
      <c r="F266" t="str">
        <f t="shared" si="37"/>
        <v>&gt;45</v>
      </c>
      <c r="G266" t="s">
        <v>8</v>
      </c>
      <c r="H266" t="s">
        <v>79</v>
      </c>
      <c r="I266" t="s">
        <v>843</v>
      </c>
      <c r="J266" t="str">
        <f t="shared" si="38"/>
        <v>rediffmail.com</v>
      </c>
      <c r="K266" t="s">
        <v>842</v>
      </c>
      <c r="L266" t="s">
        <v>1177</v>
      </c>
      <c r="M266" s="2">
        <v>45672</v>
      </c>
      <c r="N266" t="s">
        <v>1176</v>
      </c>
      <c r="O266" t="s">
        <v>273</v>
      </c>
      <c r="P266">
        <v>403.03</v>
      </c>
      <c r="Q266">
        <v>2</v>
      </c>
      <c r="R266" t="s">
        <v>64</v>
      </c>
      <c r="S266" s="5">
        <v>20</v>
      </c>
      <c r="T266" s="3">
        <v>3</v>
      </c>
      <c r="U266" s="4" t="str">
        <f t="shared" si="39"/>
        <v>Late_Delivery</v>
      </c>
      <c r="V266">
        <v>61</v>
      </c>
      <c r="W266" s="3">
        <f t="shared" si="40"/>
        <v>5</v>
      </c>
      <c r="X266" s="2">
        <v>45677</v>
      </c>
      <c r="Y266" s="1">
        <f>YEAR(Table2[[#This Row],[Delivery_Date]])</f>
        <v>2025</v>
      </c>
      <c r="Z266" s="2" t="str">
        <f t="shared" si="41"/>
        <v>Jan</v>
      </c>
      <c r="AA266" t="s">
        <v>1175</v>
      </c>
      <c r="AB266">
        <f t="shared" si="42"/>
        <v>705.84799999999996</v>
      </c>
      <c r="AC266">
        <f>Table2[[#This Row],[Price]]*Table2[[#This Row],[Quantity]]*Table2[[#This Row],[COUPON %]]/100</f>
        <v>161.21199999999999</v>
      </c>
      <c r="AD266">
        <f t="shared" si="43"/>
        <v>644.84799999999996</v>
      </c>
      <c r="AE266" s="1">
        <f t="shared" si="44"/>
        <v>806.06</v>
      </c>
    </row>
    <row r="267" spans="1:31" x14ac:dyDescent="0.25">
      <c r="A267" t="s">
        <v>838</v>
      </c>
      <c r="B267" t="str">
        <f t="shared" si="36"/>
        <v xml:space="preserve">Christian Clayton </v>
      </c>
      <c r="C267" t="s">
        <v>837</v>
      </c>
      <c r="D267" t="s">
        <v>836</v>
      </c>
      <c r="E267">
        <v>39</v>
      </c>
      <c r="F267" t="str">
        <f t="shared" si="37"/>
        <v>36-45</v>
      </c>
      <c r="G267" t="s">
        <v>29</v>
      </c>
      <c r="H267" t="s">
        <v>40</v>
      </c>
      <c r="I267" t="s">
        <v>835</v>
      </c>
      <c r="J267" t="str">
        <f t="shared" si="38"/>
        <v>yahoo.com</v>
      </c>
      <c r="K267" t="s">
        <v>834</v>
      </c>
      <c r="L267" t="s">
        <v>1174</v>
      </c>
      <c r="M267" s="2">
        <v>45366</v>
      </c>
      <c r="N267" t="s">
        <v>1173</v>
      </c>
      <c r="O267" t="s">
        <v>65</v>
      </c>
      <c r="P267">
        <v>20.7</v>
      </c>
      <c r="Q267">
        <v>3</v>
      </c>
      <c r="R267" t="s">
        <v>1</v>
      </c>
      <c r="S267" s="5">
        <v>0</v>
      </c>
      <c r="T267" s="3">
        <v>1</v>
      </c>
      <c r="U267" s="4" t="str">
        <f t="shared" si="39"/>
        <v>Late_Delivery</v>
      </c>
      <c r="V267">
        <v>67</v>
      </c>
      <c r="W267" s="3">
        <f t="shared" si="40"/>
        <v>6</v>
      </c>
      <c r="X267" s="2">
        <v>45372</v>
      </c>
      <c r="Y267" s="1">
        <f>YEAR(Table2[[#This Row],[Delivery_Date]])</f>
        <v>2024</v>
      </c>
      <c r="Z267" s="2" t="str">
        <f t="shared" si="41"/>
        <v>Mar</v>
      </c>
      <c r="AA267" t="s">
        <v>1172</v>
      </c>
      <c r="AB267">
        <f t="shared" si="42"/>
        <v>129.1</v>
      </c>
      <c r="AC267">
        <f>Table2[[#This Row],[Price]]*Table2[[#This Row],[Quantity]]*Table2[[#This Row],[COUPON %]]/100</f>
        <v>0</v>
      </c>
      <c r="AD267">
        <f t="shared" si="43"/>
        <v>62.099999999999994</v>
      </c>
      <c r="AE267" s="1">
        <f t="shared" si="44"/>
        <v>62.099999999999994</v>
      </c>
    </row>
    <row r="268" spans="1:31" x14ac:dyDescent="0.25">
      <c r="A268" t="s">
        <v>164</v>
      </c>
      <c r="B268" t="str">
        <f t="shared" si="36"/>
        <v xml:space="preserve">Mallory Mitchell </v>
      </c>
      <c r="C268" t="s">
        <v>163</v>
      </c>
      <c r="D268" t="s">
        <v>162</v>
      </c>
      <c r="E268">
        <v>42</v>
      </c>
      <c r="F268" t="str">
        <f t="shared" si="37"/>
        <v>36-45</v>
      </c>
      <c r="G268" t="s">
        <v>29</v>
      </c>
      <c r="H268" t="s">
        <v>79</v>
      </c>
      <c r="I268" t="s">
        <v>161</v>
      </c>
      <c r="J268" t="str">
        <f t="shared" si="38"/>
        <v>yahoo.com</v>
      </c>
      <c r="K268" t="s">
        <v>160</v>
      </c>
      <c r="L268" t="s">
        <v>1171</v>
      </c>
      <c r="M268" s="2">
        <v>45541</v>
      </c>
      <c r="N268" t="s">
        <v>1170</v>
      </c>
      <c r="O268" t="s">
        <v>519</v>
      </c>
      <c r="P268">
        <v>136.30000000000001</v>
      </c>
      <c r="Q268">
        <v>2</v>
      </c>
      <c r="R268" t="s">
        <v>64</v>
      </c>
      <c r="S268" s="5">
        <v>20</v>
      </c>
      <c r="T268" s="3">
        <v>2</v>
      </c>
      <c r="U268" s="4" t="str">
        <f t="shared" si="39"/>
        <v>Late_Delivery</v>
      </c>
      <c r="V268">
        <v>45</v>
      </c>
      <c r="W268" s="3">
        <f t="shared" si="40"/>
        <v>5</v>
      </c>
      <c r="X268" s="2">
        <v>45546</v>
      </c>
      <c r="Y268" s="1">
        <f>YEAR(Table2[[#This Row],[Delivery_Date]])</f>
        <v>2024</v>
      </c>
      <c r="Z268" s="2" t="str">
        <f t="shared" si="41"/>
        <v>Sep</v>
      </c>
      <c r="AA268" t="s">
        <v>1169</v>
      </c>
      <c r="AB268">
        <f t="shared" si="42"/>
        <v>263.08000000000004</v>
      </c>
      <c r="AC268">
        <f>Table2[[#This Row],[Price]]*Table2[[#This Row],[Quantity]]*Table2[[#This Row],[COUPON %]]/100</f>
        <v>54.52</v>
      </c>
      <c r="AD268">
        <f t="shared" si="43"/>
        <v>218.08000000000004</v>
      </c>
      <c r="AE268" s="1">
        <f t="shared" si="44"/>
        <v>272.60000000000002</v>
      </c>
    </row>
    <row r="269" spans="1:31" x14ac:dyDescent="0.25">
      <c r="A269" t="s">
        <v>101</v>
      </c>
      <c r="B269" t="str">
        <f t="shared" si="36"/>
        <v xml:space="preserve">Gregory Lee </v>
      </c>
      <c r="C269" t="s">
        <v>100</v>
      </c>
      <c r="D269" t="s">
        <v>99</v>
      </c>
      <c r="E269">
        <v>26</v>
      </c>
      <c r="F269" t="str">
        <f t="shared" si="37"/>
        <v>26-35</v>
      </c>
      <c r="G269" t="s">
        <v>8</v>
      </c>
      <c r="H269" t="s">
        <v>28</v>
      </c>
      <c r="I269" t="s">
        <v>98</v>
      </c>
      <c r="J269" t="str">
        <f t="shared" si="38"/>
        <v>rediffmail.com</v>
      </c>
      <c r="K269" t="s">
        <v>97</v>
      </c>
      <c r="L269" t="s">
        <v>1168</v>
      </c>
      <c r="M269" s="2">
        <v>45389</v>
      </c>
      <c r="N269" t="s">
        <v>1167</v>
      </c>
      <c r="O269" t="s">
        <v>1166</v>
      </c>
      <c r="P269">
        <v>110.95</v>
      </c>
      <c r="Q269">
        <v>2</v>
      </c>
      <c r="R269" t="s">
        <v>64</v>
      </c>
      <c r="S269" s="5">
        <v>20</v>
      </c>
      <c r="T269" s="3">
        <v>3</v>
      </c>
      <c r="U269" s="4" t="str">
        <f t="shared" si="39"/>
        <v>Late_Delivery</v>
      </c>
      <c r="V269">
        <v>36</v>
      </c>
      <c r="W269" s="3">
        <f t="shared" si="40"/>
        <v>5</v>
      </c>
      <c r="X269" s="2">
        <v>45394</v>
      </c>
      <c r="Y269" s="1">
        <f>YEAR(Table2[[#This Row],[Delivery_Date]])</f>
        <v>2024</v>
      </c>
      <c r="Z269" s="2" t="str">
        <f t="shared" si="41"/>
        <v>Apr</v>
      </c>
      <c r="AA269" t="s">
        <v>1165</v>
      </c>
      <c r="AB269">
        <f t="shared" si="42"/>
        <v>213.52</v>
      </c>
      <c r="AC269">
        <f>Table2[[#This Row],[Price]]*Table2[[#This Row],[Quantity]]*Table2[[#This Row],[COUPON %]]/100</f>
        <v>44.38</v>
      </c>
      <c r="AD269">
        <f t="shared" si="43"/>
        <v>177.52</v>
      </c>
      <c r="AE269" s="1">
        <f t="shared" si="44"/>
        <v>221.9</v>
      </c>
    </row>
    <row r="270" spans="1:31" x14ac:dyDescent="0.25">
      <c r="A270" t="s">
        <v>1164</v>
      </c>
      <c r="B270" t="str">
        <f t="shared" si="36"/>
        <v xml:space="preserve">John Herrera </v>
      </c>
      <c r="C270" t="s">
        <v>1163</v>
      </c>
      <c r="D270" t="s">
        <v>1162</v>
      </c>
      <c r="E270">
        <v>64</v>
      </c>
      <c r="F270" t="str">
        <f t="shared" si="37"/>
        <v>&gt;45</v>
      </c>
      <c r="G270" t="s">
        <v>29</v>
      </c>
      <c r="H270" t="s">
        <v>7</v>
      </c>
      <c r="I270" t="s">
        <v>1161</v>
      </c>
      <c r="J270" t="str">
        <f t="shared" si="38"/>
        <v>outlook.com</v>
      </c>
      <c r="K270" t="s">
        <v>1160</v>
      </c>
      <c r="L270" t="s">
        <v>1159</v>
      </c>
      <c r="M270" s="2">
        <v>45351</v>
      </c>
      <c r="N270" t="s">
        <v>1158</v>
      </c>
      <c r="O270" t="s">
        <v>290</v>
      </c>
      <c r="P270">
        <v>372.62</v>
      </c>
      <c r="Q270">
        <v>3</v>
      </c>
      <c r="R270" t="s">
        <v>1</v>
      </c>
      <c r="S270" s="5">
        <v>0</v>
      </c>
      <c r="T270" s="3">
        <v>5</v>
      </c>
      <c r="U270" s="4" t="str">
        <f t="shared" si="39"/>
        <v>Before_time</v>
      </c>
      <c r="V270">
        <v>54</v>
      </c>
      <c r="W270" s="3">
        <f t="shared" si="40"/>
        <v>1</v>
      </c>
      <c r="X270" s="2">
        <v>45352</v>
      </c>
      <c r="Y270" s="1">
        <f>YEAR(Table2[[#This Row],[Delivery_Date]])</f>
        <v>2024</v>
      </c>
      <c r="Z270" s="2" t="str">
        <f t="shared" si="41"/>
        <v>Mar</v>
      </c>
      <c r="AA270" t="s">
        <v>1157</v>
      </c>
      <c r="AB270">
        <f t="shared" si="42"/>
        <v>1171.8600000000001</v>
      </c>
      <c r="AC270">
        <f>Table2[[#This Row],[Price]]*Table2[[#This Row],[Quantity]]*Table2[[#This Row],[COUPON %]]/100</f>
        <v>0</v>
      </c>
      <c r="AD270">
        <f t="shared" si="43"/>
        <v>1117.8600000000001</v>
      </c>
      <c r="AE270" s="1">
        <f t="shared" si="44"/>
        <v>1117.8600000000001</v>
      </c>
    </row>
    <row r="271" spans="1:31" x14ac:dyDescent="0.25">
      <c r="A271" t="s">
        <v>974</v>
      </c>
      <c r="B271" t="str">
        <f t="shared" si="36"/>
        <v xml:space="preserve">Megan Hunt </v>
      </c>
      <c r="C271" t="s">
        <v>973</v>
      </c>
      <c r="D271" t="s">
        <v>972</v>
      </c>
      <c r="E271">
        <v>63</v>
      </c>
      <c r="F271" t="str">
        <f t="shared" si="37"/>
        <v>&gt;45</v>
      </c>
      <c r="G271" t="s">
        <v>108</v>
      </c>
      <c r="H271" t="s">
        <v>79</v>
      </c>
      <c r="I271" t="s">
        <v>971</v>
      </c>
      <c r="J271" t="str">
        <f t="shared" si="38"/>
        <v>rediffmail.com</v>
      </c>
      <c r="K271" t="s">
        <v>970</v>
      </c>
      <c r="L271" t="s">
        <v>1156</v>
      </c>
      <c r="M271" s="2">
        <v>45083</v>
      </c>
      <c r="N271" t="s">
        <v>1155</v>
      </c>
      <c r="O271" t="s">
        <v>347</v>
      </c>
      <c r="P271">
        <v>157.63999999999999</v>
      </c>
      <c r="Q271">
        <v>2</v>
      </c>
      <c r="R271" t="s">
        <v>34</v>
      </c>
      <c r="S271" s="5">
        <v>8</v>
      </c>
      <c r="T271" s="3">
        <v>4</v>
      </c>
      <c r="U271" s="4" t="str">
        <f t="shared" si="39"/>
        <v>Late_Delivery</v>
      </c>
      <c r="V271">
        <v>61</v>
      </c>
      <c r="W271" s="3">
        <f t="shared" si="40"/>
        <v>7</v>
      </c>
      <c r="X271" s="2">
        <v>45090</v>
      </c>
      <c r="Y271" s="1">
        <f>YEAR(Table2[[#This Row],[Delivery_Date]])</f>
        <v>2023</v>
      </c>
      <c r="Z271" s="2" t="str">
        <f t="shared" si="41"/>
        <v>Jun</v>
      </c>
      <c r="AA271" t="s">
        <v>1154</v>
      </c>
      <c r="AB271">
        <f t="shared" si="42"/>
        <v>351.05759999999998</v>
      </c>
      <c r="AC271">
        <f>Table2[[#This Row],[Price]]*Table2[[#This Row],[Quantity]]*Table2[[#This Row],[COUPON %]]/100</f>
        <v>25.222399999999997</v>
      </c>
      <c r="AD271">
        <f t="shared" si="43"/>
        <v>290.05759999999998</v>
      </c>
      <c r="AE271" s="1">
        <f t="shared" si="44"/>
        <v>315.27999999999997</v>
      </c>
    </row>
    <row r="272" spans="1:31" x14ac:dyDescent="0.25">
      <c r="A272" t="s">
        <v>1036</v>
      </c>
      <c r="B272" t="str">
        <f t="shared" si="36"/>
        <v xml:space="preserve">Jessica Ruiz </v>
      </c>
      <c r="C272" t="s">
        <v>1035</v>
      </c>
      <c r="D272" t="s">
        <v>1034</v>
      </c>
      <c r="E272">
        <v>19</v>
      </c>
      <c r="F272" t="str">
        <f t="shared" si="37"/>
        <v>0-25</v>
      </c>
      <c r="G272" t="s">
        <v>29</v>
      </c>
      <c r="H272" t="s">
        <v>28</v>
      </c>
      <c r="I272" t="s">
        <v>1033</v>
      </c>
      <c r="J272" t="str">
        <f t="shared" si="38"/>
        <v>rediffmail.com</v>
      </c>
      <c r="K272" t="s">
        <v>1032</v>
      </c>
      <c r="L272" t="s">
        <v>1153</v>
      </c>
      <c r="M272" s="2">
        <v>44997</v>
      </c>
      <c r="N272" t="s">
        <v>1152</v>
      </c>
      <c r="O272" t="s">
        <v>644</v>
      </c>
      <c r="P272">
        <v>190.1</v>
      </c>
      <c r="Q272">
        <v>3</v>
      </c>
      <c r="R272" t="s">
        <v>34</v>
      </c>
      <c r="S272" s="5">
        <v>8</v>
      </c>
      <c r="T272" s="3">
        <v>4</v>
      </c>
      <c r="U272" s="4" t="str">
        <f t="shared" si="39"/>
        <v>Late_Delivery</v>
      </c>
      <c r="V272">
        <v>63</v>
      </c>
      <c r="W272" s="3">
        <f t="shared" si="40"/>
        <v>5</v>
      </c>
      <c r="X272" s="2">
        <v>45002</v>
      </c>
      <c r="Y272" s="1">
        <f>YEAR(Table2[[#This Row],[Delivery_Date]])</f>
        <v>2023</v>
      </c>
      <c r="Z272" s="2" t="str">
        <f t="shared" si="41"/>
        <v>Mar</v>
      </c>
      <c r="AA272" t="s">
        <v>1151</v>
      </c>
      <c r="AB272">
        <f t="shared" si="42"/>
        <v>587.67599999999993</v>
      </c>
      <c r="AC272">
        <f>Table2[[#This Row],[Price]]*Table2[[#This Row],[Quantity]]*Table2[[#This Row],[COUPON %]]/100</f>
        <v>45.623999999999995</v>
      </c>
      <c r="AD272">
        <f t="shared" si="43"/>
        <v>524.67599999999993</v>
      </c>
      <c r="AE272" s="1">
        <f t="shared" si="44"/>
        <v>570.29999999999995</v>
      </c>
    </row>
    <row r="273" spans="1:31" x14ac:dyDescent="0.25">
      <c r="A273" t="s">
        <v>310</v>
      </c>
      <c r="B273" t="str">
        <f t="shared" si="36"/>
        <v xml:space="preserve">Jared Horn </v>
      </c>
      <c r="C273" t="s">
        <v>309</v>
      </c>
      <c r="D273" t="s">
        <v>308</v>
      </c>
      <c r="E273">
        <v>43</v>
      </c>
      <c r="F273" t="str">
        <f t="shared" si="37"/>
        <v>36-45</v>
      </c>
      <c r="G273" t="s">
        <v>108</v>
      </c>
      <c r="H273" t="s">
        <v>59</v>
      </c>
      <c r="I273" t="s">
        <v>307</v>
      </c>
      <c r="J273" t="str">
        <f t="shared" si="38"/>
        <v>outlook.com</v>
      </c>
      <c r="K273" t="s">
        <v>306</v>
      </c>
      <c r="L273" t="s">
        <v>1150</v>
      </c>
      <c r="M273" s="2">
        <v>45428</v>
      </c>
      <c r="N273" t="s">
        <v>1149</v>
      </c>
      <c r="O273" t="s">
        <v>123</v>
      </c>
      <c r="P273">
        <v>107.47</v>
      </c>
      <c r="Q273">
        <v>1</v>
      </c>
      <c r="R273" t="s">
        <v>34</v>
      </c>
      <c r="S273" s="5">
        <v>8</v>
      </c>
      <c r="T273" s="3">
        <v>4</v>
      </c>
      <c r="U273" s="4" t="str">
        <f t="shared" si="39"/>
        <v>Before_time</v>
      </c>
      <c r="V273">
        <v>36</v>
      </c>
      <c r="W273" s="3">
        <f t="shared" si="40"/>
        <v>2</v>
      </c>
      <c r="X273" s="2">
        <v>45430</v>
      </c>
      <c r="Y273" s="1">
        <f>YEAR(Table2[[#This Row],[Delivery_Date]])</f>
        <v>2024</v>
      </c>
      <c r="Z273" s="2" t="str">
        <f t="shared" si="41"/>
        <v>May</v>
      </c>
      <c r="AA273" t="s">
        <v>1148</v>
      </c>
      <c r="AB273">
        <f t="shared" si="42"/>
        <v>134.8724</v>
      </c>
      <c r="AC273">
        <f>Table2[[#This Row],[Price]]*Table2[[#This Row],[Quantity]]*Table2[[#This Row],[COUPON %]]/100</f>
        <v>8.5975999999999999</v>
      </c>
      <c r="AD273">
        <f t="shared" si="43"/>
        <v>98.872399999999999</v>
      </c>
      <c r="AE273" s="1">
        <f t="shared" si="44"/>
        <v>107.47</v>
      </c>
    </row>
    <row r="274" spans="1:31" x14ac:dyDescent="0.25">
      <c r="A274" t="s">
        <v>121</v>
      </c>
      <c r="B274" t="str">
        <f t="shared" si="36"/>
        <v xml:space="preserve">Aaron Thompson </v>
      </c>
      <c r="C274" t="s">
        <v>120</v>
      </c>
      <c r="D274" t="s">
        <v>119</v>
      </c>
      <c r="E274">
        <v>47</v>
      </c>
      <c r="F274" t="str">
        <f t="shared" si="37"/>
        <v>&gt;45</v>
      </c>
      <c r="G274" t="s">
        <v>29</v>
      </c>
      <c r="H274" t="s">
        <v>118</v>
      </c>
      <c r="I274" t="s">
        <v>117</v>
      </c>
      <c r="J274" t="str">
        <f t="shared" si="38"/>
        <v>gmail.com</v>
      </c>
      <c r="K274" t="s">
        <v>116</v>
      </c>
      <c r="L274" t="s">
        <v>1147</v>
      </c>
      <c r="M274" s="2">
        <v>45012</v>
      </c>
      <c r="N274" t="s">
        <v>1146</v>
      </c>
      <c r="O274" t="s">
        <v>714</v>
      </c>
      <c r="P274">
        <v>175.93</v>
      </c>
      <c r="Q274">
        <v>3</v>
      </c>
      <c r="R274" t="s">
        <v>1</v>
      </c>
      <c r="S274" s="5">
        <v>0</v>
      </c>
      <c r="T274" s="3">
        <v>3</v>
      </c>
      <c r="U274" s="4" t="str">
        <f t="shared" si="39"/>
        <v>Late_Delivery</v>
      </c>
      <c r="V274">
        <v>58</v>
      </c>
      <c r="W274" s="3">
        <f t="shared" si="40"/>
        <v>5</v>
      </c>
      <c r="X274" s="2">
        <v>45017</v>
      </c>
      <c r="Y274" s="1">
        <f>YEAR(Table2[[#This Row],[Delivery_Date]])</f>
        <v>2023</v>
      </c>
      <c r="Z274" s="2" t="str">
        <f t="shared" si="41"/>
        <v>Apr</v>
      </c>
      <c r="AA274" t="s">
        <v>1145</v>
      </c>
      <c r="AB274">
        <f t="shared" si="42"/>
        <v>585.79</v>
      </c>
      <c r="AC274">
        <f>Table2[[#This Row],[Price]]*Table2[[#This Row],[Quantity]]*Table2[[#This Row],[COUPON %]]/100</f>
        <v>0</v>
      </c>
      <c r="AD274">
        <f t="shared" si="43"/>
        <v>527.79</v>
      </c>
      <c r="AE274" s="1">
        <f t="shared" si="44"/>
        <v>527.79</v>
      </c>
    </row>
    <row r="275" spans="1:31" x14ac:dyDescent="0.25">
      <c r="A275" t="s">
        <v>846</v>
      </c>
      <c r="B275" t="str">
        <f t="shared" si="36"/>
        <v xml:space="preserve">Brendan Kelly </v>
      </c>
      <c r="C275" t="s">
        <v>845</v>
      </c>
      <c r="D275" t="s">
        <v>844</v>
      </c>
      <c r="E275">
        <v>50</v>
      </c>
      <c r="F275" t="str">
        <f t="shared" si="37"/>
        <v>&gt;45</v>
      </c>
      <c r="G275" t="s">
        <v>8</v>
      </c>
      <c r="H275" t="s">
        <v>79</v>
      </c>
      <c r="I275" t="s">
        <v>843</v>
      </c>
      <c r="J275" t="str">
        <f t="shared" si="38"/>
        <v>rediffmail.com</v>
      </c>
      <c r="K275" t="s">
        <v>842</v>
      </c>
      <c r="L275" t="s">
        <v>1144</v>
      </c>
      <c r="M275" s="2">
        <v>45481</v>
      </c>
      <c r="N275" t="s">
        <v>1143</v>
      </c>
      <c r="O275" t="s">
        <v>13</v>
      </c>
      <c r="P275">
        <v>424.82</v>
      </c>
      <c r="Q275">
        <v>3</v>
      </c>
      <c r="R275" t="s">
        <v>1</v>
      </c>
      <c r="S275" s="5">
        <v>0</v>
      </c>
      <c r="T275" s="3">
        <v>3</v>
      </c>
      <c r="U275" s="4" t="str">
        <f t="shared" si="39"/>
        <v>Before_time</v>
      </c>
      <c r="V275">
        <v>42</v>
      </c>
      <c r="W275" s="3">
        <f t="shared" si="40"/>
        <v>1</v>
      </c>
      <c r="X275" s="2">
        <v>45482</v>
      </c>
      <c r="Y275" s="1">
        <f>YEAR(Table2[[#This Row],[Delivery_Date]])</f>
        <v>2024</v>
      </c>
      <c r="Z275" s="2" t="str">
        <f t="shared" si="41"/>
        <v>Jul</v>
      </c>
      <c r="AA275" t="s">
        <v>1142</v>
      </c>
      <c r="AB275">
        <f t="shared" si="42"/>
        <v>1316.46</v>
      </c>
      <c r="AC275">
        <f>Table2[[#This Row],[Price]]*Table2[[#This Row],[Quantity]]*Table2[[#This Row],[COUPON %]]/100</f>
        <v>0</v>
      </c>
      <c r="AD275">
        <f t="shared" si="43"/>
        <v>1274.46</v>
      </c>
      <c r="AE275" s="1">
        <f t="shared" si="44"/>
        <v>1274.46</v>
      </c>
    </row>
    <row r="276" spans="1:31" x14ac:dyDescent="0.25">
      <c r="A276" t="s">
        <v>894</v>
      </c>
      <c r="B276" t="str">
        <f t="shared" si="36"/>
        <v xml:space="preserve">Veronica Lopez </v>
      </c>
      <c r="C276" t="s">
        <v>893</v>
      </c>
      <c r="D276" t="s">
        <v>596</v>
      </c>
      <c r="E276">
        <v>18</v>
      </c>
      <c r="F276" t="str">
        <f t="shared" si="37"/>
        <v>0-25</v>
      </c>
      <c r="G276" t="s">
        <v>29</v>
      </c>
      <c r="H276" t="s">
        <v>18</v>
      </c>
      <c r="I276" t="s">
        <v>892</v>
      </c>
      <c r="J276" t="str">
        <f t="shared" si="38"/>
        <v>gmail.com</v>
      </c>
      <c r="K276" t="s">
        <v>891</v>
      </c>
      <c r="L276" t="s">
        <v>1141</v>
      </c>
      <c r="M276" s="2">
        <v>45332</v>
      </c>
      <c r="N276" t="s">
        <v>1140</v>
      </c>
      <c r="O276" t="s">
        <v>149</v>
      </c>
      <c r="P276">
        <v>481.48</v>
      </c>
      <c r="Q276">
        <v>4</v>
      </c>
      <c r="R276" t="s">
        <v>1</v>
      </c>
      <c r="S276" s="5">
        <v>0</v>
      </c>
      <c r="T276" s="3">
        <v>2</v>
      </c>
      <c r="U276" s="4" t="str">
        <f t="shared" si="39"/>
        <v>Late_Delivery</v>
      </c>
      <c r="V276">
        <v>61</v>
      </c>
      <c r="W276" s="3">
        <f t="shared" si="40"/>
        <v>6</v>
      </c>
      <c r="X276" s="2">
        <v>45338</v>
      </c>
      <c r="Y276" s="1">
        <f>YEAR(Table2[[#This Row],[Delivery_Date]])</f>
        <v>2024</v>
      </c>
      <c r="Z276" s="2" t="str">
        <f t="shared" si="41"/>
        <v>Feb</v>
      </c>
      <c r="AA276" t="s">
        <v>1139</v>
      </c>
      <c r="AB276">
        <f t="shared" si="42"/>
        <v>1986.92</v>
      </c>
      <c r="AC276">
        <f>Table2[[#This Row],[Price]]*Table2[[#This Row],[Quantity]]*Table2[[#This Row],[COUPON %]]/100</f>
        <v>0</v>
      </c>
      <c r="AD276">
        <f t="shared" si="43"/>
        <v>1925.92</v>
      </c>
      <c r="AE276" s="1">
        <f t="shared" si="44"/>
        <v>1925.92</v>
      </c>
    </row>
    <row r="277" spans="1:31" x14ac:dyDescent="0.25">
      <c r="A277" t="s">
        <v>846</v>
      </c>
      <c r="B277" t="str">
        <f t="shared" si="36"/>
        <v xml:space="preserve">Brendan Kelly </v>
      </c>
      <c r="C277" t="s">
        <v>845</v>
      </c>
      <c r="D277" t="s">
        <v>844</v>
      </c>
      <c r="E277">
        <v>50</v>
      </c>
      <c r="F277" t="str">
        <f t="shared" si="37"/>
        <v>&gt;45</v>
      </c>
      <c r="G277" t="s">
        <v>8</v>
      </c>
      <c r="H277" t="s">
        <v>79</v>
      </c>
      <c r="I277" t="s">
        <v>843</v>
      </c>
      <c r="J277" t="str">
        <f t="shared" si="38"/>
        <v>rediffmail.com</v>
      </c>
      <c r="K277" t="s">
        <v>842</v>
      </c>
      <c r="L277" t="s">
        <v>1138</v>
      </c>
      <c r="M277" s="2">
        <v>45599</v>
      </c>
      <c r="N277" t="s">
        <v>1137</v>
      </c>
      <c r="O277" t="s">
        <v>466</v>
      </c>
      <c r="P277">
        <v>104.18</v>
      </c>
      <c r="Q277">
        <v>1</v>
      </c>
      <c r="R277" t="s">
        <v>34</v>
      </c>
      <c r="S277" s="5">
        <v>8</v>
      </c>
      <c r="T277" s="3">
        <v>1</v>
      </c>
      <c r="U277" s="4" t="str">
        <f t="shared" si="39"/>
        <v>Late_Delivery</v>
      </c>
      <c r="V277">
        <v>48</v>
      </c>
      <c r="W277" s="3">
        <f t="shared" si="40"/>
        <v>4</v>
      </c>
      <c r="X277" s="2">
        <v>45603</v>
      </c>
      <c r="Y277" s="1">
        <f>YEAR(Table2[[#This Row],[Delivery_Date]])</f>
        <v>2024</v>
      </c>
      <c r="Z277" s="2" t="str">
        <f t="shared" si="41"/>
        <v>Nov</v>
      </c>
      <c r="AA277" t="s">
        <v>1136</v>
      </c>
      <c r="AB277">
        <f t="shared" si="42"/>
        <v>143.84559999999999</v>
      </c>
      <c r="AC277">
        <f>Table2[[#This Row],[Price]]*Table2[[#This Row],[Quantity]]*Table2[[#This Row],[COUPON %]]/100</f>
        <v>8.3344000000000005</v>
      </c>
      <c r="AD277">
        <f t="shared" si="43"/>
        <v>95.845600000000005</v>
      </c>
      <c r="AE277" s="1">
        <f t="shared" si="44"/>
        <v>104.18</v>
      </c>
    </row>
    <row r="278" spans="1:31" x14ac:dyDescent="0.25">
      <c r="A278" t="s">
        <v>709</v>
      </c>
      <c r="B278" t="str">
        <f t="shared" si="36"/>
        <v xml:space="preserve">Sarah Benson </v>
      </c>
      <c r="C278" t="s">
        <v>556</v>
      </c>
      <c r="D278" t="s">
        <v>708</v>
      </c>
      <c r="E278">
        <v>40</v>
      </c>
      <c r="F278" t="str">
        <f t="shared" si="37"/>
        <v>36-45</v>
      </c>
      <c r="G278" t="s">
        <v>8</v>
      </c>
      <c r="H278" t="s">
        <v>18</v>
      </c>
      <c r="I278" t="s">
        <v>707</v>
      </c>
      <c r="J278" t="str">
        <f t="shared" si="38"/>
        <v>outlook.com</v>
      </c>
      <c r="K278" t="s">
        <v>706</v>
      </c>
      <c r="L278" t="s">
        <v>1135</v>
      </c>
      <c r="M278" s="2">
        <v>45422</v>
      </c>
      <c r="N278" t="s">
        <v>1134</v>
      </c>
      <c r="O278" t="s">
        <v>494</v>
      </c>
      <c r="P278">
        <v>425.59</v>
      </c>
      <c r="Q278">
        <v>2</v>
      </c>
      <c r="R278" t="s">
        <v>34</v>
      </c>
      <c r="S278" s="5">
        <v>8</v>
      </c>
      <c r="T278" s="3">
        <v>3</v>
      </c>
      <c r="U278" s="4" t="str">
        <f t="shared" si="39"/>
        <v>Before_time</v>
      </c>
      <c r="V278">
        <v>47</v>
      </c>
      <c r="W278" s="3">
        <f t="shared" si="40"/>
        <v>1</v>
      </c>
      <c r="X278" s="2">
        <v>45423</v>
      </c>
      <c r="Y278" s="1">
        <f>YEAR(Table2[[#This Row],[Delivery_Date]])</f>
        <v>2024</v>
      </c>
      <c r="Z278" s="2" t="str">
        <f t="shared" si="41"/>
        <v>May</v>
      </c>
      <c r="AA278" t="s">
        <v>1133</v>
      </c>
      <c r="AB278">
        <f t="shared" si="42"/>
        <v>830.0856</v>
      </c>
      <c r="AC278">
        <f>Table2[[#This Row],[Price]]*Table2[[#This Row],[Quantity]]*Table2[[#This Row],[COUPON %]]/100</f>
        <v>68.094399999999993</v>
      </c>
      <c r="AD278">
        <f t="shared" si="43"/>
        <v>783.0856</v>
      </c>
      <c r="AE278" s="1">
        <f t="shared" si="44"/>
        <v>851.18</v>
      </c>
    </row>
    <row r="279" spans="1:31" x14ac:dyDescent="0.25">
      <c r="A279" t="s">
        <v>1036</v>
      </c>
      <c r="B279" t="str">
        <f t="shared" si="36"/>
        <v xml:space="preserve">Jessica Ruiz </v>
      </c>
      <c r="C279" t="s">
        <v>1035</v>
      </c>
      <c r="D279" t="s">
        <v>1034</v>
      </c>
      <c r="E279">
        <v>19</v>
      </c>
      <c r="F279" t="str">
        <f t="shared" si="37"/>
        <v>0-25</v>
      </c>
      <c r="G279" t="s">
        <v>29</v>
      </c>
      <c r="H279" t="s">
        <v>28</v>
      </c>
      <c r="I279" t="s">
        <v>1033</v>
      </c>
      <c r="J279" t="str">
        <f t="shared" si="38"/>
        <v>rediffmail.com</v>
      </c>
      <c r="K279" t="s">
        <v>1032</v>
      </c>
      <c r="L279" t="s">
        <v>1132</v>
      </c>
      <c r="M279" s="2">
        <v>45017</v>
      </c>
      <c r="N279" t="s">
        <v>1131</v>
      </c>
      <c r="O279" t="s">
        <v>220</v>
      </c>
      <c r="P279">
        <v>461.07</v>
      </c>
      <c r="Q279">
        <v>4</v>
      </c>
      <c r="R279" t="s">
        <v>1</v>
      </c>
      <c r="S279" s="5">
        <v>0</v>
      </c>
      <c r="T279" s="3">
        <v>6</v>
      </c>
      <c r="U279" s="4" t="str">
        <f t="shared" si="39"/>
        <v>Before_time</v>
      </c>
      <c r="V279">
        <v>46</v>
      </c>
      <c r="W279" s="3">
        <f t="shared" si="40"/>
        <v>5</v>
      </c>
      <c r="X279" s="2">
        <v>45022</v>
      </c>
      <c r="Y279" s="1">
        <f>YEAR(Table2[[#This Row],[Delivery_Date]])</f>
        <v>2023</v>
      </c>
      <c r="Z279" s="2" t="str">
        <f t="shared" si="41"/>
        <v>Apr</v>
      </c>
      <c r="AA279" t="s">
        <v>1130</v>
      </c>
      <c r="AB279">
        <f t="shared" si="42"/>
        <v>1890.28</v>
      </c>
      <c r="AC279">
        <f>Table2[[#This Row],[Price]]*Table2[[#This Row],[Quantity]]*Table2[[#This Row],[COUPON %]]/100</f>
        <v>0</v>
      </c>
      <c r="AD279">
        <f t="shared" si="43"/>
        <v>1844.28</v>
      </c>
      <c r="AE279" s="1">
        <f t="shared" si="44"/>
        <v>1844.28</v>
      </c>
    </row>
    <row r="280" spans="1:31" x14ac:dyDescent="0.25">
      <c r="A280" t="s">
        <v>1129</v>
      </c>
      <c r="B280" t="str">
        <f t="shared" si="36"/>
        <v xml:space="preserve">Amy Reid </v>
      </c>
      <c r="C280" t="s">
        <v>270</v>
      </c>
      <c r="D280" t="s">
        <v>1128</v>
      </c>
      <c r="E280">
        <v>44</v>
      </c>
      <c r="F280" t="str">
        <f t="shared" si="37"/>
        <v>36-45</v>
      </c>
      <c r="G280" t="s">
        <v>29</v>
      </c>
      <c r="H280" t="s">
        <v>118</v>
      </c>
      <c r="I280" t="s">
        <v>1127</v>
      </c>
      <c r="J280" t="str">
        <f t="shared" si="38"/>
        <v>rediffmail.com</v>
      </c>
      <c r="K280" t="s">
        <v>1126</v>
      </c>
      <c r="L280" t="s">
        <v>1125</v>
      </c>
      <c r="M280" s="2">
        <v>45422</v>
      </c>
      <c r="N280" t="s">
        <v>1124</v>
      </c>
      <c r="O280" t="s">
        <v>84</v>
      </c>
      <c r="P280">
        <v>62.42</v>
      </c>
      <c r="Q280">
        <v>4</v>
      </c>
      <c r="R280" t="s">
        <v>93</v>
      </c>
      <c r="S280" s="5">
        <v>15</v>
      </c>
      <c r="T280" s="3">
        <v>1</v>
      </c>
      <c r="U280" s="4" t="str">
        <f t="shared" si="39"/>
        <v>Late_Delivery</v>
      </c>
      <c r="V280">
        <v>67</v>
      </c>
      <c r="W280" s="3">
        <f t="shared" si="40"/>
        <v>4</v>
      </c>
      <c r="X280" s="2">
        <v>45426</v>
      </c>
      <c r="Y280" s="1">
        <f>YEAR(Table2[[#This Row],[Delivery_Date]])</f>
        <v>2024</v>
      </c>
      <c r="Z280" s="2" t="str">
        <f t="shared" si="41"/>
        <v>May</v>
      </c>
      <c r="AA280" t="s">
        <v>1123</v>
      </c>
      <c r="AB280">
        <f t="shared" si="42"/>
        <v>279.22800000000001</v>
      </c>
      <c r="AC280">
        <f>Table2[[#This Row],[Price]]*Table2[[#This Row],[Quantity]]*Table2[[#This Row],[COUPON %]]/100</f>
        <v>37.452000000000005</v>
      </c>
      <c r="AD280">
        <f t="shared" si="43"/>
        <v>212.22800000000001</v>
      </c>
      <c r="AE280" s="1">
        <f t="shared" si="44"/>
        <v>249.68</v>
      </c>
    </row>
    <row r="281" spans="1:31" x14ac:dyDescent="0.25">
      <c r="A281" t="s">
        <v>371</v>
      </c>
      <c r="B281" t="str">
        <f t="shared" si="36"/>
        <v xml:space="preserve">Anthony Thomas </v>
      </c>
      <c r="C281" t="s">
        <v>370</v>
      </c>
      <c r="D281" t="s">
        <v>369</v>
      </c>
      <c r="E281">
        <v>53</v>
      </c>
      <c r="F281" t="str">
        <f t="shared" si="37"/>
        <v>&gt;45</v>
      </c>
      <c r="G281" t="s">
        <v>29</v>
      </c>
      <c r="H281" t="s">
        <v>7</v>
      </c>
      <c r="I281" t="s">
        <v>368</v>
      </c>
      <c r="J281" t="str">
        <f t="shared" si="38"/>
        <v>rediffmail.com</v>
      </c>
      <c r="K281" t="s">
        <v>367</v>
      </c>
      <c r="L281" t="s">
        <v>1122</v>
      </c>
      <c r="M281" s="2">
        <v>45186</v>
      </c>
      <c r="N281" t="s">
        <v>1121</v>
      </c>
      <c r="O281" t="s">
        <v>343</v>
      </c>
      <c r="P281">
        <v>257.06</v>
      </c>
      <c r="Q281">
        <v>1</v>
      </c>
      <c r="R281" t="s">
        <v>64</v>
      </c>
      <c r="S281" s="5">
        <v>20</v>
      </c>
      <c r="T281" s="3">
        <v>5</v>
      </c>
      <c r="U281" s="4" t="str">
        <f t="shared" si="39"/>
        <v>Before_time</v>
      </c>
      <c r="V281">
        <v>64</v>
      </c>
      <c r="W281" s="3">
        <f t="shared" si="40"/>
        <v>2</v>
      </c>
      <c r="X281" s="2">
        <v>45188</v>
      </c>
      <c r="Y281" s="1">
        <f>YEAR(Table2[[#This Row],[Delivery_Date]])</f>
        <v>2023</v>
      </c>
      <c r="Z281" s="2" t="str">
        <f t="shared" si="41"/>
        <v>Sep</v>
      </c>
      <c r="AA281" t="s">
        <v>1120</v>
      </c>
      <c r="AB281">
        <f t="shared" si="42"/>
        <v>269.64800000000002</v>
      </c>
      <c r="AC281">
        <f>Table2[[#This Row],[Price]]*Table2[[#This Row],[Quantity]]*Table2[[#This Row],[COUPON %]]/100</f>
        <v>51.411999999999999</v>
      </c>
      <c r="AD281">
        <f t="shared" si="43"/>
        <v>205.64800000000002</v>
      </c>
      <c r="AE281" s="1">
        <f t="shared" si="44"/>
        <v>257.06</v>
      </c>
    </row>
    <row r="282" spans="1:31" x14ac:dyDescent="0.25">
      <c r="A282" t="s">
        <v>433</v>
      </c>
      <c r="B282" t="str">
        <f t="shared" si="36"/>
        <v xml:space="preserve">Jodi Whitney </v>
      </c>
      <c r="C282" t="s">
        <v>432</v>
      </c>
      <c r="D282" t="s">
        <v>431</v>
      </c>
      <c r="E282">
        <v>33</v>
      </c>
      <c r="F282" t="str">
        <f t="shared" si="37"/>
        <v>26-35</v>
      </c>
      <c r="G282" t="s">
        <v>8</v>
      </c>
      <c r="H282" t="s">
        <v>79</v>
      </c>
      <c r="I282" t="s">
        <v>430</v>
      </c>
      <c r="J282" t="str">
        <f t="shared" si="38"/>
        <v>yahoo.com</v>
      </c>
      <c r="K282" t="s">
        <v>429</v>
      </c>
      <c r="L282" t="s">
        <v>1119</v>
      </c>
      <c r="M282" s="2">
        <v>45677</v>
      </c>
      <c r="N282" t="s">
        <v>1118</v>
      </c>
      <c r="O282" t="s">
        <v>23</v>
      </c>
      <c r="P282">
        <v>272.51</v>
      </c>
      <c r="Q282">
        <v>4</v>
      </c>
      <c r="R282" t="s">
        <v>64</v>
      </c>
      <c r="S282" s="5">
        <v>20</v>
      </c>
      <c r="T282" s="3">
        <v>6</v>
      </c>
      <c r="U282" s="4" t="str">
        <f t="shared" si="39"/>
        <v>Before_time</v>
      </c>
      <c r="V282">
        <v>39</v>
      </c>
      <c r="W282" s="3">
        <f t="shared" si="40"/>
        <v>2</v>
      </c>
      <c r="X282" s="2">
        <v>45679</v>
      </c>
      <c r="Y282" s="1">
        <f>YEAR(Table2[[#This Row],[Delivery_Date]])</f>
        <v>2025</v>
      </c>
      <c r="Z282" s="2" t="str">
        <f t="shared" si="41"/>
        <v>Jan</v>
      </c>
      <c r="AA282" t="s">
        <v>1117</v>
      </c>
      <c r="AB282">
        <f t="shared" si="42"/>
        <v>911.03200000000004</v>
      </c>
      <c r="AC282">
        <f>Table2[[#This Row],[Price]]*Table2[[#This Row],[Quantity]]*Table2[[#This Row],[COUPON %]]/100</f>
        <v>218.00799999999998</v>
      </c>
      <c r="AD282">
        <f t="shared" si="43"/>
        <v>872.03200000000004</v>
      </c>
      <c r="AE282" s="1">
        <f t="shared" si="44"/>
        <v>1090.04</v>
      </c>
    </row>
    <row r="283" spans="1:31" x14ac:dyDescent="0.25">
      <c r="A283" t="s">
        <v>11</v>
      </c>
      <c r="B283" t="str">
        <f t="shared" si="36"/>
        <v xml:space="preserve">Angela Evans </v>
      </c>
      <c r="C283" t="s">
        <v>10</v>
      </c>
      <c r="D283" t="s">
        <v>9</v>
      </c>
      <c r="E283">
        <v>52</v>
      </c>
      <c r="F283" t="str">
        <f t="shared" si="37"/>
        <v>&gt;45</v>
      </c>
      <c r="G283" t="s">
        <v>8</v>
      </c>
      <c r="H283" t="s">
        <v>7</v>
      </c>
      <c r="I283" t="s">
        <v>6</v>
      </c>
      <c r="J283" t="str">
        <f t="shared" si="38"/>
        <v>outlook.com</v>
      </c>
      <c r="K283" t="s">
        <v>5</v>
      </c>
      <c r="L283" t="s">
        <v>1116</v>
      </c>
      <c r="M283" s="2">
        <v>45242</v>
      </c>
      <c r="N283" t="s">
        <v>1115</v>
      </c>
      <c r="O283" t="s">
        <v>273</v>
      </c>
      <c r="P283">
        <v>403.03</v>
      </c>
      <c r="Q283">
        <v>2</v>
      </c>
      <c r="R283" t="s">
        <v>34</v>
      </c>
      <c r="S283" s="5">
        <v>8</v>
      </c>
      <c r="T283" s="3">
        <v>4</v>
      </c>
      <c r="U283" s="4" t="str">
        <f t="shared" si="39"/>
        <v>On_time</v>
      </c>
      <c r="V283">
        <v>70</v>
      </c>
      <c r="W283" s="3">
        <f t="shared" si="40"/>
        <v>4</v>
      </c>
      <c r="X283" s="2">
        <v>45246</v>
      </c>
      <c r="Y283" s="1">
        <f>YEAR(Table2[[#This Row],[Delivery_Date]])</f>
        <v>2023</v>
      </c>
      <c r="Z283" s="2" t="str">
        <f t="shared" si="41"/>
        <v>Nov</v>
      </c>
      <c r="AA283" t="s">
        <v>1114</v>
      </c>
      <c r="AB283">
        <f t="shared" si="42"/>
        <v>811.5752</v>
      </c>
      <c r="AC283">
        <f>Table2[[#This Row],[Price]]*Table2[[#This Row],[Quantity]]*Table2[[#This Row],[COUPON %]]/100</f>
        <v>64.484799999999993</v>
      </c>
      <c r="AD283">
        <f t="shared" si="43"/>
        <v>741.5752</v>
      </c>
      <c r="AE283" s="1">
        <f t="shared" si="44"/>
        <v>806.06</v>
      </c>
    </row>
    <row r="284" spans="1:31" x14ac:dyDescent="0.25">
      <c r="A284" t="s">
        <v>1036</v>
      </c>
      <c r="B284" t="str">
        <f t="shared" si="36"/>
        <v xml:space="preserve">Jessica Ruiz </v>
      </c>
      <c r="C284" t="s">
        <v>1035</v>
      </c>
      <c r="D284" t="s">
        <v>1034</v>
      </c>
      <c r="E284">
        <v>19</v>
      </c>
      <c r="F284" t="str">
        <f t="shared" si="37"/>
        <v>0-25</v>
      </c>
      <c r="G284" t="s">
        <v>29</v>
      </c>
      <c r="H284" t="s">
        <v>28</v>
      </c>
      <c r="I284" t="s">
        <v>1033</v>
      </c>
      <c r="J284" t="str">
        <f t="shared" si="38"/>
        <v>rediffmail.com</v>
      </c>
      <c r="K284" t="s">
        <v>1032</v>
      </c>
      <c r="L284" t="s">
        <v>1113</v>
      </c>
      <c r="M284" s="2">
        <v>45201</v>
      </c>
      <c r="N284" t="s">
        <v>1112</v>
      </c>
      <c r="O284" t="s">
        <v>220</v>
      </c>
      <c r="P284">
        <v>461.07</v>
      </c>
      <c r="Q284">
        <v>3</v>
      </c>
      <c r="R284" t="s">
        <v>166</v>
      </c>
      <c r="S284" s="5">
        <v>10</v>
      </c>
      <c r="T284" s="3">
        <v>1</v>
      </c>
      <c r="U284" s="4" t="str">
        <f t="shared" si="39"/>
        <v>On_time</v>
      </c>
      <c r="V284">
        <v>61</v>
      </c>
      <c r="W284" s="3">
        <f t="shared" si="40"/>
        <v>1</v>
      </c>
      <c r="X284" s="2">
        <v>45202</v>
      </c>
      <c r="Y284" s="1">
        <f>YEAR(Table2[[#This Row],[Delivery_Date]])</f>
        <v>2023</v>
      </c>
      <c r="Z284" s="2" t="str">
        <f t="shared" si="41"/>
        <v>Oct</v>
      </c>
      <c r="AA284" t="s">
        <v>1111</v>
      </c>
      <c r="AB284">
        <f t="shared" si="42"/>
        <v>1305.8890000000001</v>
      </c>
      <c r="AC284">
        <f>Table2[[#This Row],[Price]]*Table2[[#This Row],[Quantity]]*Table2[[#This Row],[COUPON %]]/100</f>
        <v>138.321</v>
      </c>
      <c r="AD284">
        <f t="shared" si="43"/>
        <v>1244.8890000000001</v>
      </c>
      <c r="AE284" s="1">
        <f t="shared" si="44"/>
        <v>1383.21</v>
      </c>
    </row>
    <row r="285" spans="1:31" x14ac:dyDescent="0.25">
      <c r="A285" t="s">
        <v>846</v>
      </c>
      <c r="B285" t="str">
        <f t="shared" si="36"/>
        <v xml:space="preserve">Brendan Kelly </v>
      </c>
      <c r="C285" t="s">
        <v>845</v>
      </c>
      <c r="D285" t="s">
        <v>844</v>
      </c>
      <c r="E285">
        <v>50</v>
      </c>
      <c r="F285" t="str">
        <f t="shared" si="37"/>
        <v>&gt;45</v>
      </c>
      <c r="G285" t="s">
        <v>8</v>
      </c>
      <c r="H285" t="s">
        <v>79</v>
      </c>
      <c r="I285" t="s">
        <v>843</v>
      </c>
      <c r="J285" t="str">
        <f t="shared" si="38"/>
        <v>rediffmail.com</v>
      </c>
      <c r="K285" t="s">
        <v>842</v>
      </c>
      <c r="L285" t="s">
        <v>1110</v>
      </c>
      <c r="M285" s="2">
        <v>45522</v>
      </c>
      <c r="N285" t="s">
        <v>1109</v>
      </c>
      <c r="O285" t="s">
        <v>113</v>
      </c>
      <c r="P285">
        <v>441.03</v>
      </c>
      <c r="Q285">
        <v>3</v>
      </c>
      <c r="R285" t="s">
        <v>64</v>
      </c>
      <c r="S285" s="5">
        <v>20</v>
      </c>
      <c r="T285" s="3">
        <v>4</v>
      </c>
      <c r="U285" s="4" t="str">
        <f t="shared" si="39"/>
        <v>Late_Delivery</v>
      </c>
      <c r="V285">
        <v>40</v>
      </c>
      <c r="W285" s="3">
        <f t="shared" si="40"/>
        <v>6</v>
      </c>
      <c r="X285" s="2">
        <v>45528</v>
      </c>
      <c r="Y285" s="1">
        <f>YEAR(Table2[[#This Row],[Delivery_Date]])</f>
        <v>2024</v>
      </c>
      <c r="Z285" s="2" t="str">
        <f t="shared" si="41"/>
        <v>Aug</v>
      </c>
      <c r="AA285" t="s">
        <v>1108</v>
      </c>
      <c r="AB285">
        <f t="shared" si="42"/>
        <v>1098.472</v>
      </c>
      <c r="AC285">
        <f>Table2[[#This Row],[Price]]*Table2[[#This Row],[Quantity]]*Table2[[#This Row],[COUPON %]]/100</f>
        <v>264.61799999999999</v>
      </c>
      <c r="AD285">
        <f t="shared" si="43"/>
        <v>1058.472</v>
      </c>
      <c r="AE285" s="1">
        <f t="shared" si="44"/>
        <v>1323.09</v>
      </c>
    </row>
    <row r="286" spans="1:31" x14ac:dyDescent="0.25">
      <c r="A286" t="s">
        <v>62</v>
      </c>
      <c r="B286" t="str">
        <f t="shared" si="36"/>
        <v xml:space="preserve">Kara Brennan </v>
      </c>
      <c r="C286" t="s">
        <v>61</v>
      </c>
      <c r="D286" t="s">
        <v>60</v>
      </c>
      <c r="E286">
        <v>25</v>
      </c>
      <c r="F286" t="str">
        <f t="shared" si="37"/>
        <v>0-25</v>
      </c>
      <c r="G286" t="s">
        <v>8</v>
      </c>
      <c r="H286" t="s">
        <v>59</v>
      </c>
      <c r="I286" t="s">
        <v>58</v>
      </c>
      <c r="J286" t="str">
        <f t="shared" si="38"/>
        <v>outlook.com</v>
      </c>
      <c r="K286" t="s">
        <v>57</v>
      </c>
      <c r="L286" t="s">
        <v>1107</v>
      </c>
      <c r="M286" s="2">
        <v>45090</v>
      </c>
      <c r="N286" t="s">
        <v>1106</v>
      </c>
      <c r="O286" t="s">
        <v>714</v>
      </c>
      <c r="P286">
        <v>175.93</v>
      </c>
      <c r="Q286">
        <v>4</v>
      </c>
      <c r="R286" t="s">
        <v>64</v>
      </c>
      <c r="S286" s="5">
        <v>20</v>
      </c>
      <c r="T286" s="3">
        <v>6</v>
      </c>
      <c r="U286" s="4" t="str">
        <f t="shared" si="39"/>
        <v>Late_Delivery</v>
      </c>
      <c r="V286">
        <v>45</v>
      </c>
      <c r="W286" s="3">
        <f t="shared" si="40"/>
        <v>7</v>
      </c>
      <c r="X286" s="2">
        <v>45097</v>
      </c>
      <c r="Y286" s="1">
        <f>YEAR(Table2[[#This Row],[Delivery_Date]])</f>
        <v>2023</v>
      </c>
      <c r="Z286" s="2" t="str">
        <f t="shared" si="41"/>
        <v>Jun</v>
      </c>
      <c r="AA286" t="s">
        <v>1105</v>
      </c>
      <c r="AB286">
        <f t="shared" si="42"/>
        <v>607.976</v>
      </c>
      <c r="AC286">
        <f>Table2[[#This Row],[Price]]*Table2[[#This Row],[Quantity]]*Table2[[#This Row],[COUPON %]]/100</f>
        <v>140.74400000000003</v>
      </c>
      <c r="AD286">
        <f t="shared" si="43"/>
        <v>562.976</v>
      </c>
      <c r="AE286" s="1">
        <f t="shared" si="44"/>
        <v>703.72</v>
      </c>
    </row>
    <row r="287" spans="1:31" x14ac:dyDescent="0.25">
      <c r="A287" t="s">
        <v>1036</v>
      </c>
      <c r="B287" t="str">
        <f t="shared" si="36"/>
        <v xml:space="preserve">Jessica Ruiz </v>
      </c>
      <c r="C287" t="s">
        <v>1035</v>
      </c>
      <c r="D287" t="s">
        <v>1034</v>
      </c>
      <c r="E287">
        <v>19</v>
      </c>
      <c r="F287" t="str">
        <f t="shared" si="37"/>
        <v>0-25</v>
      </c>
      <c r="G287" t="s">
        <v>29</v>
      </c>
      <c r="H287" t="s">
        <v>28</v>
      </c>
      <c r="I287" t="s">
        <v>1033</v>
      </c>
      <c r="J287" t="str">
        <f t="shared" si="38"/>
        <v>rediffmail.com</v>
      </c>
      <c r="K287" t="s">
        <v>1032</v>
      </c>
      <c r="L287" t="s">
        <v>1104</v>
      </c>
      <c r="M287" s="2">
        <v>45049</v>
      </c>
      <c r="N287" t="s">
        <v>1103</v>
      </c>
      <c r="O287" t="s">
        <v>426</v>
      </c>
      <c r="P287">
        <v>369.03</v>
      </c>
      <c r="Q287">
        <v>3</v>
      </c>
      <c r="R287" t="s">
        <v>34</v>
      </c>
      <c r="S287" s="5">
        <v>8</v>
      </c>
      <c r="T287" s="3">
        <v>6</v>
      </c>
      <c r="U287" s="4" t="str">
        <f t="shared" si="39"/>
        <v>Before_time</v>
      </c>
      <c r="V287">
        <v>50</v>
      </c>
      <c r="W287" s="3">
        <f t="shared" si="40"/>
        <v>3</v>
      </c>
      <c r="X287" s="2">
        <v>45052</v>
      </c>
      <c r="Y287" s="1">
        <f>YEAR(Table2[[#This Row],[Delivery_Date]])</f>
        <v>2023</v>
      </c>
      <c r="Z287" s="2" t="str">
        <f t="shared" si="41"/>
        <v>May</v>
      </c>
      <c r="AA287" t="s">
        <v>1102</v>
      </c>
      <c r="AB287">
        <f t="shared" si="42"/>
        <v>1068.5228</v>
      </c>
      <c r="AC287">
        <f>Table2[[#This Row],[Price]]*Table2[[#This Row],[Quantity]]*Table2[[#This Row],[COUPON %]]/100</f>
        <v>88.5672</v>
      </c>
      <c r="AD287">
        <f t="shared" si="43"/>
        <v>1018.5228</v>
      </c>
      <c r="AE287" s="1">
        <f t="shared" si="44"/>
        <v>1107.0899999999999</v>
      </c>
    </row>
    <row r="288" spans="1:31" x14ac:dyDescent="0.25">
      <c r="A288" t="s">
        <v>665</v>
      </c>
      <c r="B288" t="str">
        <f t="shared" si="36"/>
        <v xml:space="preserve">Bruce Allen </v>
      </c>
      <c r="C288" t="s">
        <v>664</v>
      </c>
      <c r="D288" t="s">
        <v>663</v>
      </c>
      <c r="E288">
        <v>32</v>
      </c>
      <c r="F288" t="str">
        <f t="shared" si="37"/>
        <v>26-35</v>
      </c>
      <c r="G288" t="s">
        <v>29</v>
      </c>
      <c r="H288" t="s">
        <v>107</v>
      </c>
      <c r="I288" t="s">
        <v>662</v>
      </c>
      <c r="J288" t="str">
        <f t="shared" si="38"/>
        <v>rediffmail.com</v>
      </c>
      <c r="K288" t="s">
        <v>661</v>
      </c>
      <c r="L288" t="s">
        <v>1101</v>
      </c>
      <c r="M288" s="2">
        <v>45676</v>
      </c>
      <c r="N288" t="s">
        <v>1100</v>
      </c>
      <c r="O288" t="s">
        <v>149</v>
      </c>
      <c r="P288">
        <v>481.48</v>
      </c>
      <c r="Q288">
        <v>2</v>
      </c>
      <c r="R288" t="s">
        <v>64</v>
      </c>
      <c r="S288" s="5">
        <v>20</v>
      </c>
      <c r="T288" s="3">
        <v>3</v>
      </c>
      <c r="U288" s="4" t="str">
        <f t="shared" si="39"/>
        <v>Late_Delivery</v>
      </c>
      <c r="V288">
        <v>58</v>
      </c>
      <c r="W288" s="3">
        <f t="shared" si="40"/>
        <v>7</v>
      </c>
      <c r="X288" s="2">
        <v>45683</v>
      </c>
      <c r="Y288" s="1">
        <f>YEAR(Table2[[#This Row],[Delivery_Date]])</f>
        <v>2025</v>
      </c>
      <c r="Z288" s="2" t="str">
        <f t="shared" si="41"/>
        <v>Jan</v>
      </c>
      <c r="AA288" t="s">
        <v>1099</v>
      </c>
      <c r="AB288">
        <f t="shared" si="42"/>
        <v>828.36800000000005</v>
      </c>
      <c r="AC288">
        <f>Table2[[#This Row],[Price]]*Table2[[#This Row],[Quantity]]*Table2[[#This Row],[COUPON %]]/100</f>
        <v>192.59200000000001</v>
      </c>
      <c r="AD288">
        <f t="shared" si="43"/>
        <v>770.36800000000005</v>
      </c>
      <c r="AE288" s="1">
        <f t="shared" si="44"/>
        <v>962.96</v>
      </c>
    </row>
    <row r="289" spans="1:31" x14ac:dyDescent="0.25">
      <c r="A289" t="s">
        <v>924</v>
      </c>
      <c r="B289" t="str">
        <f t="shared" si="36"/>
        <v xml:space="preserve">Natasha Michael </v>
      </c>
      <c r="C289" t="s">
        <v>923</v>
      </c>
      <c r="D289" t="s">
        <v>922</v>
      </c>
      <c r="E289">
        <v>49</v>
      </c>
      <c r="F289" t="str">
        <f t="shared" si="37"/>
        <v>&gt;45</v>
      </c>
      <c r="G289" t="s">
        <v>108</v>
      </c>
      <c r="H289" t="s">
        <v>7</v>
      </c>
      <c r="I289" t="s">
        <v>921</v>
      </c>
      <c r="J289" t="str">
        <f t="shared" si="38"/>
        <v>gmail.com</v>
      </c>
      <c r="K289" t="s">
        <v>920</v>
      </c>
      <c r="L289" t="s">
        <v>1098</v>
      </c>
      <c r="M289" s="2">
        <v>45092</v>
      </c>
      <c r="N289" t="s">
        <v>1097</v>
      </c>
      <c r="O289" t="s">
        <v>494</v>
      </c>
      <c r="P289">
        <v>425.59</v>
      </c>
      <c r="Q289">
        <v>3</v>
      </c>
      <c r="R289" t="s">
        <v>34</v>
      </c>
      <c r="S289" s="5">
        <v>8</v>
      </c>
      <c r="T289" s="3">
        <v>6</v>
      </c>
      <c r="U289" s="4" t="str">
        <f t="shared" si="39"/>
        <v>Late_Delivery</v>
      </c>
      <c r="V289">
        <v>55</v>
      </c>
      <c r="W289" s="3">
        <f t="shared" si="40"/>
        <v>7</v>
      </c>
      <c r="X289" s="2">
        <v>45099</v>
      </c>
      <c r="Y289" s="1">
        <f>YEAR(Table2[[#This Row],[Delivery_Date]])</f>
        <v>2023</v>
      </c>
      <c r="Z289" s="2" t="str">
        <f t="shared" si="41"/>
        <v>Jun</v>
      </c>
      <c r="AA289" t="s">
        <v>1096</v>
      </c>
      <c r="AB289">
        <f t="shared" si="42"/>
        <v>1229.6284000000001</v>
      </c>
      <c r="AC289">
        <f>Table2[[#This Row],[Price]]*Table2[[#This Row],[Quantity]]*Table2[[#This Row],[COUPON %]]/100</f>
        <v>102.1416</v>
      </c>
      <c r="AD289">
        <f t="shared" si="43"/>
        <v>1174.6284000000001</v>
      </c>
      <c r="AE289" s="1">
        <f t="shared" si="44"/>
        <v>1276.77</v>
      </c>
    </row>
    <row r="290" spans="1:31" x14ac:dyDescent="0.25">
      <c r="A290" t="s">
        <v>745</v>
      </c>
      <c r="B290" t="str">
        <f t="shared" si="36"/>
        <v xml:space="preserve">Julie Meyer </v>
      </c>
      <c r="C290" t="s">
        <v>744</v>
      </c>
      <c r="D290" t="s">
        <v>743</v>
      </c>
      <c r="E290">
        <v>23</v>
      </c>
      <c r="F290" t="str">
        <f t="shared" si="37"/>
        <v>0-25</v>
      </c>
      <c r="G290" t="s">
        <v>108</v>
      </c>
      <c r="H290" t="s">
        <v>107</v>
      </c>
      <c r="I290" t="s">
        <v>742</v>
      </c>
      <c r="J290" t="str">
        <f t="shared" si="38"/>
        <v>yahoo.com</v>
      </c>
      <c r="K290" t="s">
        <v>741</v>
      </c>
      <c r="L290" t="s">
        <v>1095</v>
      </c>
      <c r="M290" s="2">
        <v>45659</v>
      </c>
      <c r="N290" t="s">
        <v>1094</v>
      </c>
      <c r="O290" t="s">
        <v>94</v>
      </c>
      <c r="P290">
        <v>33.49</v>
      </c>
      <c r="Q290">
        <v>2</v>
      </c>
      <c r="R290" t="s">
        <v>34</v>
      </c>
      <c r="S290" s="5">
        <v>8</v>
      </c>
      <c r="T290" s="3">
        <v>2</v>
      </c>
      <c r="U290" s="4" t="str">
        <f t="shared" si="39"/>
        <v>Before_time</v>
      </c>
      <c r="V290">
        <v>45</v>
      </c>
      <c r="W290" s="3">
        <f t="shared" si="40"/>
        <v>1</v>
      </c>
      <c r="X290" s="2">
        <v>45660</v>
      </c>
      <c r="Y290" s="1">
        <f>YEAR(Table2[[#This Row],[Delivery_Date]])</f>
        <v>2025</v>
      </c>
      <c r="Z290" s="2" t="str">
        <f t="shared" si="41"/>
        <v>Jan</v>
      </c>
      <c r="AA290" t="s">
        <v>1093</v>
      </c>
      <c r="AB290">
        <f t="shared" si="42"/>
        <v>106.6216</v>
      </c>
      <c r="AC290">
        <f>Table2[[#This Row],[Price]]*Table2[[#This Row],[Quantity]]*Table2[[#This Row],[COUPON %]]/100</f>
        <v>5.3584000000000005</v>
      </c>
      <c r="AD290">
        <f t="shared" si="43"/>
        <v>61.621600000000008</v>
      </c>
      <c r="AE290" s="1">
        <f t="shared" si="44"/>
        <v>66.98</v>
      </c>
    </row>
    <row r="291" spans="1:31" x14ac:dyDescent="0.25">
      <c r="A291" t="s">
        <v>1092</v>
      </c>
      <c r="B291" t="str">
        <f t="shared" si="36"/>
        <v xml:space="preserve">Mitchell Parker </v>
      </c>
      <c r="C291" t="s">
        <v>162</v>
      </c>
      <c r="D291" t="s">
        <v>145</v>
      </c>
      <c r="E291">
        <v>39</v>
      </c>
      <c r="F291" t="str">
        <f t="shared" si="37"/>
        <v>36-45</v>
      </c>
      <c r="G291" t="s">
        <v>8</v>
      </c>
      <c r="H291" t="s">
        <v>7</v>
      </c>
      <c r="I291" t="s">
        <v>1091</v>
      </c>
      <c r="J291" t="str">
        <f t="shared" si="38"/>
        <v>yahoo.com</v>
      </c>
      <c r="K291" t="s">
        <v>1090</v>
      </c>
      <c r="L291" t="s">
        <v>1089</v>
      </c>
      <c r="M291" s="2">
        <v>45024</v>
      </c>
      <c r="N291" t="s">
        <v>1088</v>
      </c>
      <c r="O291" t="s">
        <v>181</v>
      </c>
      <c r="P291">
        <v>405</v>
      </c>
      <c r="Q291">
        <v>4</v>
      </c>
      <c r="R291" t="s">
        <v>166</v>
      </c>
      <c r="S291" s="5">
        <v>10</v>
      </c>
      <c r="T291" s="3">
        <v>7</v>
      </c>
      <c r="U291" s="4" t="str">
        <f t="shared" si="39"/>
        <v>Before_time</v>
      </c>
      <c r="V291">
        <v>70</v>
      </c>
      <c r="W291" s="3">
        <f t="shared" si="40"/>
        <v>5</v>
      </c>
      <c r="X291" s="2">
        <v>45029</v>
      </c>
      <c r="Y291" s="1">
        <f>YEAR(Table2[[#This Row],[Delivery_Date]])</f>
        <v>2023</v>
      </c>
      <c r="Z291" s="2" t="str">
        <f t="shared" si="41"/>
        <v>Apr</v>
      </c>
      <c r="AA291" t="s">
        <v>1087</v>
      </c>
      <c r="AB291">
        <f t="shared" si="42"/>
        <v>1528</v>
      </c>
      <c r="AC291">
        <f>Table2[[#This Row],[Price]]*Table2[[#This Row],[Quantity]]*Table2[[#This Row],[COUPON %]]/100</f>
        <v>162</v>
      </c>
      <c r="AD291">
        <f t="shared" si="43"/>
        <v>1458</v>
      </c>
      <c r="AE291" s="1">
        <f t="shared" si="44"/>
        <v>1620</v>
      </c>
    </row>
    <row r="292" spans="1:31" x14ac:dyDescent="0.25">
      <c r="A292" t="s">
        <v>206</v>
      </c>
      <c r="B292" t="str">
        <f t="shared" si="36"/>
        <v xml:space="preserve">Alexandra Smith </v>
      </c>
      <c r="C292" t="s">
        <v>205</v>
      </c>
      <c r="D292" t="s">
        <v>204</v>
      </c>
      <c r="E292">
        <v>70</v>
      </c>
      <c r="F292" t="str">
        <f t="shared" si="37"/>
        <v>&gt;45</v>
      </c>
      <c r="G292" t="s">
        <v>108</v>
      </c>
      <c r="H292" t="s">
        <v>107</v>
      </c>
      <c r="I292" t="s">
        <v>203</v>
      </c>
      <c r="J292" t="str">
        <f t="shared" si="38"/>
        <v>rediffmail.com</v>
      </c>
      <c r="K292" t="s">
        <v>202</v>
      </c>
      <c r="L292" t="s">
        <v>1086</v>
      </c>
      <c r="M292" s="2">
        <v>45455</v>
      </c>
      <c r="N292" t="s">
        <v>1085</v>
      </c>
      <c r="O292" t="s">
        <v>149</v>
      </c>
      <c r="P292">
        <v>481.48</v>
      </c>
      <c r="Q292">
        <v>3</v>
      </c>
      <c r="R292" t="s">
        <v>64</v>
      </c>
      <c r="S292" s="5">
        <v>20</v>
      </c>
      <c r="T292" s="3">
        <v>5</v>
      </c>
      <c r="U292" s="4" t="str">
        <f t="shared" si="39"/>
        <v>Late_Delivery</v>
      </c>
      <c r="V292">
        <v>49</v>
      </c>
      <c r="W292" s="3">
        <f t="shared" si="40"/>
        <v>7</v>
      </c>
      <c r="X292" s="2">
        <v>45462</v>
      </c>
      <c r="Y292" s="1">
        <f>YEAR(Table2[[#This Row],[Delivery_Date]])</f>
        <v>2024</v>
      </c>
      <c r="Z292" s="2" t="str">
        <f t="shared" si="41"/>
        <v>Jun</v>
      </c>
      <c r="AA292" t="s">
        <v>1084</v>
      </c>
      <c r="AB292">
        <f t="shared" si="42"/>
        <v>1204.5520000000001</v>
      </c>
      <c r="AC292">
        <f>Table2[[#This Row],[Price]]*Table2[[#This Row],[Quantity]]*Table2[[#This Row],[COUPON %]]/100</f>
        <v>288.88800000000003</v>
      </c>
      <c r="AD292">
        <f t="shared" si="43"/>
        <v>1155.5520000000001</v>
      </c>
      <c r="AE292" s="1">
        <f t="shared" si="44"/>
        <v>1444.44</v>
      </c>
    </row>
    <row r="293" spans="1:31" x14ac:dyDescent="0.25">
      <c r="A293" t="s">
        <v>630</v>
      </c>
      <c r="B293" t="str">
        <f t="shared" si="36"/>
        <v xml:space="preserve">Jason Lopez </v>
      </c>
      <c r="C293" t="s">
        <v>629</v>
      </c>
      <c r="D293" t="s">
        <v>596</v>
      </c>
      <c r="E293">
        <v>40</v>
      </c>
      <c r="F293" t="str">
        <f t="shared" si="37"/>
        <v>36-45</v>
      </c>
      <c r="G293" t="s">
        <v>8</v>
      </c>
      <c r="H293" t="s">
        <v>79</v>
      </c>
      <c r="I293" t="s">
        <v>628</v>
      </c>
      <c r="J293" t="str">
        <f t="shared" si="38"/>
        <v>outlook.com</v>
      </c>
      <c r="K293" t="s">
        <v>627</v>
      </c>
      <c r="L293" t="s">
        <v>1083</v>
      </c>
      <c r="M293" s="2">
        <v>45058</v>
      </c>
      <c r="N293" t="s">
        <v>1082</v>
      </c>
      <c r="O293" t="s">
        <v>470</v>
      </c>
      <c r="P293">
        <v>133.62</v>
      </c>
      <c r="Q293">
        <v>2</v>
      </c>
      <c r="R293" t="s">
        <v>166</v>
      </c>
      <c r="S293" s="5">
        <v>10</v>
      </c>
      <c r="T293" s="3">
        <v>4</v>
      </c>
      <c r="U293" s="4" t="str">
        <f t="shared" si="39"/>
        <v>Before_time</v>
      </c>
      <c r="V293">
        <v>36</v>
      </c>
      <c r="W293" s="3">
        <f t="shared" si="40"/>
        <v>1</v>
      </c>
      <c r="X293" s="2">
        <v>45059</v>
      </c>
      <c r="Y293" s="1">
        <f>YEAR(Table2[[#This Row],[Delivery_Date]])</f>
        <v>2023</v>
      </c>
      <c r="Z293" s="2" t="str">
        <f t="shared" si="41"/>
        <v>May</v>
      </c>
      <c r="AA293" t="s">
        <v>1081</v>
      </c>
      <c r="AB293">
        <f t="shared" si="42"/>
        <v>276.51600000000002</v>
      </c>
      <c r="AC293">
        <f>Table2[[#This Row],[Price]]*Table2[[#This Row],[Quantity]]*Table2[[#This Row],[COUPON %]]/100</f>
        <v>26.724</v>
      </c>
      <c r="AD293">
        <f t="shared" si="43"/>
        <v>240.51600000000002</v>
      </c>
      <c r="AE293" s="1">
        <f t="shared" si="44"/>
        <v>267.24</v>
      </c>
    </row>
    <row r="294" spans="1:31" x14ac:dyDescent="0.25">
      <c r="A294" t="s">
        <v>801</v>
      </c>
      <c r="B294" t="str">
        <f t="shared" si="36"/>
        <v xml:space="preserve">Mark Summers </v>
      </c>
      <c r="C294" t="s">
        <v>51</v>
      </c>
      <c r="D294" t="s">
        <v>800</v>
      </c>
      <c r="E294">
        <v>55</v>
      </c>
      <c r="F294" t="str">
        <f t="shared" si="37"/>
        <v>&gt;45</v>
      </c>
      <c r="G294" t="s">
        <v>29</v>
      </c>
      <c r="H294" t="s">
        <v>40</v>
      </c>
      <c r="I294" t="s">
        <v>799</v>
      </c>
      <c r="J294" t="str">
        <f t="shared" si="38"/>
        <v>outlook.com</v>
      </c>
      <c r="K294" t="s">
        <v>798</v>
      </c>
      <c r="L294" t="s">
        <v>1080</v>
      </c>
      <c r="M294" s="2">
        <v>45414</v>
      </c>
      <c r="N294" t="s">
        <v>1079</v>
      </c>
      <c r="O294" t="s">
        <v>84</v>
      </c>
      <c r="P294">
        <v>62.42</v>
      </c>
      <c r="Q294">
        <v>4</v>
      </c>
      <c r="R294" t="s">
        <v>166</v>
      </c>
      <c r="S294" s="5">
        <v>10</v>
      </c>
      <c r="T294" s="3">
        <v>6</v>
      </c>
      <c r="U294" s="4" t="str">
        <f t="shared" si="39"/>
        <v>On_time</v>
      </c>
      <c r="V294">
        <v>43</v>
      </c>
      <c r="W294" s="3">
        <f t="shared" si="40"/>
        <v>6</v>
      </c>
      <c r="X294" s="2">
        <v>45420</v>
      </c>
      <c r="Y294" s="1">
        <f>YEAR(Table2[[#This Row],[Delivery_Date]])</f>
        <v>2024</v>
      </c>
      <c r="Z294" s="2" t="str">
        <f t="shared" si="41"/>
        <v>May</v>
      </c>
      <c r="AA294" t="s">
        <v>1078</v>
      </c>
      <c r="AB294">
        <f t="shared" si="42"/>
        <v>267.71199999999999</v>
      </c>
      <c r="AC294">
        <f>Table2[[#This Row],[Price]]*Table2[[#This Row],[Quantity]]*Table2[[#This Row],[COUPON %]]/100</f>
        <v>24.968000000000004</v>
      </c>
      <c r="AD294">
        <f t="shared" si="43"/>
        <v>224.71200000000002</v>
      </c>
      <c r="AE294" s="1">
        <f t="shared" si="44"/>
        <v>249.68</v>
      </c>
    </row>
    <row r="295" spans="1:31" x14ac:dyDescent="0.25">
      <c r="A295" t="s">
        <v>1077</v>
      </c>
      <c r="B295" t="str">
        <f t="shared" si="36"/>
        <v xml:space="preserve">Mike Carter </v>
      </c>
      <c r="C295" t="s">
        <v>1076</v>
      </c>
      <c r="D295" t="s">
        <v>1075</v>
      </c>
      <c r="E295">
        <v>59</v>
      </c>
      <c r="F295" t="str">
        <f t="shared" si="37"/>
        <v>&gt;45</v>
      </c>
      <c r="G295" t="s">
        <v>8</v>
      </c>
      <c r="H295" t="s">
        <v>79</v>
      </c>
      <c r="I295" t="s">
        <v>1074</v>
      </c>
      <c r="J295" t="str">
        <f t="shared" si="38"/>
        <v>rediffmail.com</v>
      </c>
      <c r="K295" t="s">
        <v>1073</v>
      </c>
      <c r="L295" t="s">
        <v>1072</v>
      </c>
      <c r="M295" s="2">
        <v>45527</v>
      </c>
      <c r="N295" t="s">
        <v>1071</v>
      </c>
      <c r="O295" t="s">
        <v>264</v>
      </c>
      <c r="P295">
        <v>496.59</v>
      </c>
      <c r="Q295">
        <v>2</v>
      </c>
      <c r="R295" t="s">
        <v>34</v>
      </c>
      <c r="S295" s="5">
        <v>8</v>
      </c>
      <c r="T295" s="3">
        <v>3</v>
      </c>
      <c r="U295" s="4" t="str">
        <f t="shared" si="39"/>
        <v>Before_time</v>
      </c>
      <c r="V295">
        <v>55</v>
      </c>
      <c r="W295" s="3">
        <f t="shared" si="40"/>
        <v>1</v>
      </c>
      <c r="X295" s="2">
        <v>45528</v>
      </c>
      <c r="Y295" s="1">
        <f>YEAR(Table2[[#This Row],[Delivery_Date]])</f>
        <v>2024</v>
      </c>
      <c r="Z295" s="2" t="str">
        <f t="shared" si="41"/>
        <v>Aug</v>
      </c>
      <c r="AA295" t="s">
        <v>688</v>
      </c>
      <c r="AB295">
        <f t="shared" si="42"/>
        <v>968.72559999999999</v>
      </c>
      <c r="AC295">
        <f>Table2[[#This Row],[Price]]*Table2[[#This Row],[Quantity]]*Table2[[#This Row],[COUPON %]]/100</f>
        <v>79.454399999999993</v>
      </c>
      <c r="AD295">
        <f t="shared" si="43"/>
        <v>913.72559999999999</v>
      </c>
      <c r="AE295" s="1">
        <f t="shared" si="44"/>
        <v>993.18</v>
      </c>
    </row>
    <row r="296" spans="1:31" x14ac:dyDescent="0.25">
      <c r="A296" t="s">
        <v>510</v>
      </c>
      <c r="B296" t="str">
        <f t="shared" si="36"/>
        <v xml:space="preserve">Katherine Weber </v>
      </c>
      <c r="C296" t="s">
        <v>509</v>
      </c>
      <c r="D296" t="s">
        <v>508</v>
      </c>
      <c r="E296">
        <v>42</v>
      </c>
      <c r="F296" t="str">
        <f t="shared" si="37"/>
        <v>36-45</v>
      </c>
      <c r="G296" t="s">
        <v>8</v>
      </c>
      <c r="H296" t="s">
        <v>28</v>
      </c>
      <c r="I296" t="s">
        <v>507</v>
      </c>
      <c r="J296" t="str">
        <f t="shared" si="38"/>
        <v>outlook.com</v>
      </c>
      <c r="K296" t="s">
        <v>506</v>
      </c>
      <c r="L296" t="s">
        <v>1070</v>
      </c>
      <c r="M296" s="2">
        <v>45233</v>
      </c>
      <c r="N296" t="s">
        <v>1069</v>
      </c>
      <c r="O296" t="s">
        <v>303</v>
      </c>
      <c r="P296">
        <v>431.44</v>
      </c>
      <c r="Q296">
        <v>4</v>
      </c>
      <c r="R296" t="s">
        <v>1</v>
      </c>
      <c r="S296" s="5">
        <v>0</v>
      </c>
      <c r="T296" s="3">
        <v>3</v>
      </c>
      <c r="U296" s="4" t="str">
        <f t="shared" si="39"/>
        <v>Late_Delivery</v>
      </c>
      <c r="V296">
        <v>65</v>
      </c>
      <c r="W296" s="3">
        <f t="shared" si="40"/>
        <v>6</v>
      </c>
      <c r="X296" s="2">
        <v>45239</v>
      </c>
      <c r="Y296" s="1">
        <f>YEAR(Table2[[#This Row],[Delivery_Date]])</f>
        <v>2023</v>
      </c>
      <c r="Z296" s="2" t="str">
        <f t="shared" si="41"/>
        <v>Nov</v>
      </c>
      <c r="AA296" t="s">
        <v>1068</v>
      </c>
      <c r="AB296">
        <f t="shared" si="42"/>
        <v>1790.76</v>
      </c>
      <c r="AC296">
        <f>Table2[[#This Row],[Price]]*Table2[[#This Row],[Quantity]]*Table2[[#This Row],[COUPON %]]/100</f>
        <v>0</v>
      </c>
      <c r="AD296">
        <f t="shared" si="43"/>
        <v>1725.76</v>
      </c>
      <c r="AE296" s="1">
        <f t="shared" si="44"/>
        <v>1725.76</v>
      </c>
    </row>
    <row r="297" spans="1:31" x14ac:dyDescent="0.25">
      <c r="A297" t="s">
        <v>121</v>
      </c>
      <c r="B297" t="str">
        <f t="shared" si="36"/>
        <v xml:space="preserve">Aaron Thompson </v>
      </c>
      <c r="C297" t="s">
        <v>120</v>
      </c>
      <c r="D297" t="s">
        <v>119</v>
      </c>
      <c r="E297">
        <v>47</v>
      </c>
      <c r="F297" t="str">
        <f t="shared" si="37"/>
        <v>&gt;45</v>
      </c>
      <c r="G297" t="s">
        <v>29</v>
      </c>
      <c r="H297" t="s">
        <v>118</v>
      </c>
      <c r="I297" t="s">
        <v>117</v>
      </c>
      <c r="J297" t="str">
        <f t="shared" si="38"/>
        <v>gmail.com</v>
      </c>
      <c r="K297" t="s">
        <v>116</v>
      </c>
      <c r="L297" t="s">
        <v>1067</v>
      </c>
      <c r="M297" s="2">
        <v>45513</v>
      </c>
      <c r="N297" t="s">
        <v>1066</v>
      </c>
      <c r="O297" t="s">
        <v>13</v>
      </c>
      <c r="P297">
        <v>424.82</v>
      </c>
      <c r="Q297">
        <v>2</v>
      </c>
      <c r="R297" t="s">
        <v>1</v>
      </c>
      <c r="S297" s="5">
        <v>0</v>
      </c>
      <c r="T297" s="3">
        <v>2</v>
      </c>
      <c r="U297" s="4" t="str">
        <f t="shared" si="39"/>
        <v>Late_Delivery</v>
      </c>
      <c r="V297">
        <v>57</v>
      </c>
      <c r="W297" s="3">
        <f t="shared" si="40"/>
        <v>7</v>
      </c>
      <c r="X297" s="2">
        <v>45520</v>
      </c>
      <c r="Y297" s="1">
        <f>YEAR(Table2[[#This Row],[Delivery_Date]])</f>
        <v>2024</v>
      </c>
      <c r="Z297" s="2" t="str">
        <f t="shared" si="41"/>
        <v>Aug</v>
      </c>
      <c r="AA297" t="s">
        <v>1065</v>
      </c>
      <c r="AB297">
        <f t="shared" si="42"/>
        <v>906.64</v>
      </c>
      <c r="AC297">
        <f>Table2[[#This Row],[Price]]*Table2[[#This Row],[Quantity]]*Table2[[#This Row],[COUPON %]]/100</f>
        <v>0</v>
      </c>
      <c r="AD297">
        <f t="shared" si="43"/>
        <v>849.64</v>
      </c>
      <c r="AE297" s="1">
        <f t="shared" si="44"/>
        <v>849.64</v>
      </c>
    </row>
    <row r="298" spans="1:31" x14ac:dyDescent="0.25">
      <c r="A298" t="s">
        <v>801</v>
      </c>
      <c r="B298" t="str">
        <f t="shared" si="36"/>
        <v xml:space="preserve">Mark Summers </v>
      </c>
      <c r="C298" t="s">
        <v>51</v>
      </c>
      <c r="D298" t="s">
        <v>800</v>
      </c>
      <c r="E298">
        <v>55</v>
      </c>
      <c r="F298" t="str">
        <f t="shared" si="37"/>
        <v>&gt;45</v>
      </c>
      <c r="G298" t="s">
        <v>29</v>
      </c>
      <c r="H298" t="s">
        <v>40</v>
      </c>
      <c r="I298" t="s">
        <v>799</v>
      </c>
      <c r="J298" t="str">
        <f t="shared" si="38"/>
        <v>outlook.com</v>
      </c>
      <c r="K298" t="s">
        <v>798</v>
      </c>
      <c r="L298" t="s">
        <v>1064</v>
      </c>
      <c r="M298" s="2">
        <v>45567</v>
      </c>
      <c r="N298" t="s">
        <v>1063</v>
      </c>
      <c r="O298" t="s">
        <v>667</v>
      </c>
      <c r="P298">
        <v>421.7</v>
      </c>
      <c r="Q298">
        <v>3</v>
      </c>
      <c r="R298" t="s">
        <v>34</v>
      </c>
      <c r="S298" s="5">
        <v>8</v>
      </c>
      <c r="T298" s="3">
        <v>5</v>
      </c>
      <c r="U298" s="4" t="str">
        <f t="shared" si="39"/>
        <v>Before_time</v>
      </c>
      <c r="V298">
        <v>54</v>
      </c>
      <c r="W298" s="3">
        <f t="shared" si="40"/>
        <v>4</v>
      </c>
      <c r="X298" s="2">
        <v>45571</v>
      </c>
      <c r="Y298" s="1">
        <f>YEAR(Table2[[#This Row],[Delivery_Date]])</f>
        <v>2024</v>
      </c>
      <c r="Z298" s="2" t="str">
        <f t="shared" si="41"/>
        <v>Oct</v>
      </c>
      <c r="AA298" t="s">
        <v>1062</v>
      </c>
      <c r="AB298">
        <f t="shared" si="42"/>
        <v>1217.8920000000001</v>
      </c>
      <c r="AC298">
        <f>Table2[[#This Row],[Price]]*Table2[[#This Row],[Quantity]]*Table2[[#This Row],[COUPON %]]/100</f>
        <v>101.208</v>
      </c>
      <c r="AD298">
        <f t="shared" si="43"/>
        <v>1163.8920000000001</v>
      </c>
      <c r="AE298" s="1">
        <f t="shared" si="44"/>
        <v>1265.0999999999999</v>
      </c>
    </row>
    <row r="299" spans="1:31" x14ac:dyDescent="0.25">
      <c r="A299" t="s">
        <v>138</v>
      </c>
      <c r="B299" t="str">
        <f t="shared" si="36"/>
        <v xml:space="preserve">Hannah Gutierrez </v>
      </c>
      <c r="C299" t="s">
        <v>137</v>
      </c>
      <c r="D299" t="s">
        <v>136</v>
      </c>
      <c r="E299">
        <v>55</v>
      </c>
      <c r="F299" t="str">
        <f t="shared" si="37"/>
        <v>&gt;45</v>
      </c>
      <c r="G299" t="s">
        <v>29</v>
      </c>
      <c r="H299" t="s">
        <v>40</v>
      </c>
      <c r="I299" t="s">
        <v>135</v>
      </c>
      <c r="J299" t="str">
        <f t="shared" si="38"/>
        <v>yahoo.com</v>
      </c>
      <c r="K299" t="s">
        <v>134</v>
      </c>
      <c r="L299" t="s">
        <v>1061</v>
      </c>
      <c r="M299" s="2">
        <v>45157</v>
      </c>
      <c r="N299" t="s">
        <v>1060</v>
      </c>
      <c r="O299" t="s">
        <v>290</v>
      </c>
      <c r="P299">
        <v>372.62</v>
      </c>
      <c r="Q299">
        <v>1</v>
      </c>
      <c r="R299" t="s">
        <v>166</v>
      </c>
      <c r="S299" s="5">
        <v>10</v>
      </c>
      <c r="T299" s="3">
        <v>5</v>
      </c>
      <c r="U299" s="4" t="str">
        <f t="shared" si="39"/>
        <v>Late_Delivery</v>
      </c>
      <c r="V299">
        <v>45</v>
      </c>
      <c r="W299" s="3">
        <f t="shared" si="40"/>
        <v>7</v>
      </c>
      <c r="X299" s="2">
        <v>45164</v>
      </c>
      <c r="Y299" s="1">
        <f>YEAR(Table2[[#This Row],[Delivery_Date]])</f>
        <v>2023</v>
      </c>
      <c r="Z299" s="2" t="str">
        <f t="shared" si="41"/>
        <v>Aug</v>
      </c>
      <c r="AA299" t="s">
        <v>1059</v>
      </c>
      <c r="AB299">
        <f t="shared" si="42"/>
        <v>380.358</v>
      </c>
      <c r="AC299">
        <f>Table2[[#This Row],[Price]]*Table2[[#This Row],[Quantity]]*Table2[[#This Row],[COUPON %]]/100</f>
        <v>37.262</v>
      </c>
      <c r="AD299">
        <f t="shared" si="43"/>
        <v>335.358</v>
      </c>
      <c r="AE299" s="1">
        <f t="shared" si="44"/>
        <v>372.62</v>
      </c>
    </row>
    <row r="300" spans="1:31" x14ac:dyDescent="0.25">
      <c r="A300" t="s">
        <v>846</v>
      </c>
      <c r="B300" t="str">
        <f t="shared" si="36"/>
        <v xml:space="preserve">Brendan Kelly </v>
      </c>
      <c r="C300" t="s">
        <v>845</v>
      </c>
      <c r="D300" t="s">
        <v>844</v>
      </c>
      <c r="E300">
        <v>50</v>
      </c>
      <c r="F300" t="str">
        <f t="shared" si="37"/>
        <v>&gt;45</v>
      </c>
      <c r="G300" t="s">
        <v>8</v>
      </c>
      <c r="H300" t="s">
        <v>79</v>
      </c>
      <c r="I300" t="s">
        <v>843</v>
      </c>
      <c r="J300" t="str">
        <f t="shared" si="38"/>
        <v>rediffmail.com</v>
      </c>
      <c r="K300" t="s">
        <v>842</v>
      </c>
      <c r="L300" t="s">
        <v>1058</v>
      </c>
      <c r="M300" s="2">
        <v>45557</v>
      </c>
      <c r="N300" t="s">
        <v>1057</v>
      </c>
      <c r="O300" t="s">
        <v>466</v>
      </c>
      <c r="P300">
        <v>104.18</v>
      </c>
      <c r="Q300">
        <v>1</v>
      </c>
      <c r="R300" t="s">
        <v>34</v>
      </c>
      <c r="S300" s="5">
        <v>8</v>
      </c>
      <c r="T300" s="3">
        <v>3</v>
      </c>
      <c r="U300" s="4" t="str">
        <f t="shared" si="39"/>
        <v>Late_Delivery</v>
      </c>
      <c r="V300">
        <v>60</v>
      </c>
      <c r="W300" s="3">
        <f t="shared" si="40"/>
        <v>6</v>
      </c>
      <c r="X300" s="2">
        <v>45563</v>
      </c>
      <c r="Y300" s="1">
        <f>YEAR(Table2[[#This Row],[Delivery_Date]])</f>
        <v>2024</v>
      </c>
      <c r="Z300" s="2" t="str">
        <f t="shared" si="41"/>
        <v>Sep</v>
      </c>
      <c r="AA300" t="s">
        <v>1056</v>
      </c>
      <c r="AB300">
        <f t="shared" si="42"/>
        <v>155.84559999999999</v>
      </c>
      <c r="AC300">
        <f>Table2[[#This Row],[Price]]*Table2[[#This Row],[Quantity]]*Table2[[#This Row],[COUPON %]]/100</f>
        <v>8.3344000000000005</v>
      </c>
      <c r="AD300">
        <f t="shared" si="43"/>
        <v>95.845600000000005</v>
      </c>
      <c r="AE300" s="1">
        <f t="shared" si="44"/>
        <v>104.18</v>
      </c>
    </row>
    <row r="301" spans="1:31" x14ac:dyDescent="0.25">
      <c r="A301" t="s">
        <v>916</v>
      </c>
      <c r="B301" t="str">
        <f t="shared" si="36"/>
        <v xml:space="preserve">Leslie Montgomery </v>
      </c>
      <c r="C301" t="s">
        <v>915</v>
      </c>
      <c r="D301" t="s">
        <v>914</v>
      </c>
      <c r="E301">
        <v>26</v>
      </c>
      <c r="F301" t="str">
        <f t="shared" si="37"/>
        <v>26-35</v>
      </c>
      <c r="G301" t="s">
        <v>29</v>
      </c>
      <c r="H301" t="s">
        <v>40</v>
      </c>
      <c r="I301" t="s">
        <v>913</v>
      </c>
      <c r="J301" t="str">
        <f t="shared" si="38"/>
        <v>gmail.com</v>
      </c>
      <c r="K301" t="s">
        <v>912</v>
      </c>
      <c r="L301" t="s">
        <v>1055</v>
      </c>
      <c r="M301" s="2">
        <v>45104</v>
      </c>
      <c r="N301" t="s">
        <v>1054</v>
      </c>
      <c r="O301" t="s">
        <v>714</v>
      </c>
      <c r="P301">
        <v>175.93</v>
      </c>
      <c r="Q301">
        <v>2</v>
      </c>
      <c r="R301" t="s">
        <v>34</v>
      </c>
      <c r="S301" s="5">
        <v>8</v>
      </c>
      <c r="T301" s="3">
        <v>5</v>
      </c>
      <c r="U301" s="4" t="str">
        <f t="shared" si="39"/>
        <v>Before_time</v>
      </c>
      <c r="V301">
        <v>49</v>
      </c>
      <c r="W301" s="3">
        <f t="shared" si="40"/>
        <v>2</v>
      </c>
      <c r="X301" s="2">
        <v>45106</v>
      </c>
      <c r="Y301" s="1">
        <f>YEAR(Table2[[#This Row],[Delivery_Date]])</f>
        <v>2023</v>
      </c>
      <c r="Z301" s="2" t="str">
        <f t="shared" si="41"/>
        <v>Jun</v>
      </c>
      <c r="AA301" t="s">
        <v>1053</v>
      </c>
      <c r="AB301">
        <f t="shared" si="42"/>
        <v>372.71120000000002</v>
      </c>
      <c r="AC301">
        <f>Table2[[#This Row],[Price]]*Table2[[#This Row],[Quantity]]*Table2[[#This Row],[COUPON %]]/100</f>
        <v>28.148800000000001</v>
      </c>
      <c r="AD301">
        <f t="shared" si="43"/>
        <v>323.71120000000002</v>
      </c>
      <c r="AE301" s="1">
        <f t="shared" si="44"/>
        <v>351.86</v>
      </c>
    </row>
    <row r="302" spans="1:31" x14ac:dyDescent="0.25">
      <c r="A302" t="s">
        <v>1052</v>
      </c>
      <c r="B302" t="str">
        <f t="shared" si="36"/>
        <v xml:space="preserve">Gary Huff </v>
      </c>
      <c r="C302" t="s">
        <v>393</v>
      </c>
      <c r="D302" t="s">
        <v>1051</v>
      </c>
      <c r="E302">
        <v>18</v>
      </c>
      <c r="F302" t="str">
        <f t="shared" si="37"/>
        <v>0-25</v>
      </c>
      <c r="G302" t="s">
        <v>108</v>
      </c>
      <c r="H302" t="s">
        <v>28</v>
      </c>
      <c r="I302" t="s">
        <v>1050</v>
      </c>
      <c r="J302" t="str">
        <f t="shared" si="38"/>
        <v>gmail.com</v>
      </c>
      <c r="K302" t="s">
        <v>1049</v>
      </c>
      <c r="L302" t="s">
        <v>1048</v>
      </c>
      <c r="M302" s="2">
        <v>45563</v>
      </c>
      <c r="N302" t="s">
        <v>1047</v>
      </c>
      <c r="O302" t="s">
        <v>84</v>
      </c>
      <c r="P302">
        <v>62.42</v>
      </c>
      <c r="Q302">
        <v>1</v>
      </c>
      <c r="R302" t="s">
        <v>34</v>
      </c>
      <c r="S302" s="5">
        <v>8</v>
      </c>
      <c r="T302" s="3">
        <v>3</v>
      </c>
      <c r="U302" s="4" t="str">
        <f t="shared" si="39"/>
        <v>Before_time</v>
      </c>
      <c r="V302">
        <v>46</v>
      </c>
      <c r="W302" s="3">
        <f t="shared" si="40"/>
        <v>2</v>
      </c>
      <c r="X302" s="2">
        <v>45565</v>
      </c>
      <c r="Y302" s="1">
        <f>YEAR(Table2[[#This Row],[Delivery_Date]])</f>
        <v>2024</v>
      </c>
      <c r="Z302" s="2" t="str">
        <f t="shared" si="41"/>
        <v>Sep</v>
      </c>
      <c r="AA302" t="s">
        <v>1046</v>
      </c>
      <c r="AB302">
        <f t="shared" si="42"/>
        <v>103.4264</v>
      </c>
      <c r="AC302">
        <f>Table2[[#This Row],[Price]]*Table2[[#This Row],[Quantity]]*Table2[[#This Row],[COUPON %]]/100</f>
        <v>4.9935999999999998</v>
      </c>
      <c r="AD302">
        <f t="shared" si="43"/>
        <v>57.426400000000001</v>
      </c>
      <c r="AE302" s="1">
        <f t="shared" si="44"/>
        <v>62.42</v>
      </c>
    </row>
    <row r="303" spans="1:31" x14ac:dyDescent="0.25">
      <c r="A303" t="s">
        <v>21</v>
      </c>
      <c r="B303" t="str">
        <f t="shared" si="36"/>
        <v xml:space="preserve">Amanda Howard </v>
      </c>
      <c r="C303" t="s">
        <v>20</v>
      </c>
      <c r="D303" t="s">
        <v>19</v>
      </c>
      <c r="E303">
        <v>52</v>
      </c>
      <c r="F303" t="str">
        <f t="shared" si="37"/>
        <v>&gt;45</v>
      </c>
      <c r="G303" t="s">
        <v>8</v>
      </c>
      <c r="H303" t="s">
        <v>18</v>
      </c>
      <c r="I303" t="s">
        <v>17</v>
      </c>
      <c r="J303" t="str">
        <f t="shared" si="38"/>
        <v>outlook.com</v>
      </c>
      <c r="K303" t="s">
        <v>16</v>
      </c>
      <c r="L303" t="s">
        <v>1045</v>
      </c>
      <c r="M303" s="2">
        <v>45279</v>
      </c>
      <c r="N303" t="s">
        <v>1044</v>
      </c>
      <c r="O303" t="s">
        <v>65</v>
      </c>
      <c r="P303">
        <v>20.7</v>
      </c>
      <c r="Q303">
        <v>2</v>
      </c>
      <c r="R303" t="s">
        <v>34</v>
      </c>
      <c r="S303" s="5">
        <v>8</v>
      </c>
      <c r="T303" s="3">
        <v>7</v>
      </c>
      <c r="U303" s="4" t="str">
        <f t="shared" si="39"/>
        <v>On_time</v>
      </c>
      <c r="V303">
        <v>39</v>
      </c>
      <c r="W303" s="3">
        <f t="shared" si="40"/>
        <v>7</v>
      </c>
      <c r="X303" s="2">
        <v>45286</v>
      </c>
      <c r="Y303" s="1">
        <f>YEAR(Table2[[#This Row],[Delivery_Date]])</f>
        <v>2023</v>
      </c>
      <c r="Z303" s="2" t="str">
        <f t="shared" si="41"/>
        <v>Dec</v>
      </c>
      <c r="AA303" t="s">
        <v>1043</v>
      </c>
      <c r="AB303">
        <f t="shared" si="42"/>
        <v>77.087999999999994</v>
      </c>
      <c r="AC303">
        <f>Table2[[#This Row],[Price]]*Table2[[#This Row],[Quantity]]*Table2[[#This Row],[COUPON %]]/100</f>
        <v>3.3119999999999998</v>
      </c>
      <c r="AD303">
        <f t="shared" si="43"/>
        <v>38.088000000000001</v>
      </c>
      <c r="AE303" s="1">
        <f t="shared" si="44"/>
        <v>41.4</v>
      </c>
    </row>
    <row r="304" spans="1:31" x14ac:dyDescent="0.25">
      <c r="A304" t="s">
        <v>761</v>
      </c>
      <c r="B304" t="str">
        <f t="shared" si="36"/>
        <v xml:space="preserve">Joshua Campbell </v>
      </c>
      <c r="C304" t="s">
        <v>760</v>
      </c>
      <c r="D304" t="s">
        <v>759</v>
      </c>
      <c r="E304">
        <v>24</v>
      </c>
      <c r="F304" t="str">
        <f t="shared" si="37"/>
        <v>0-25</v>
      </c>
      <c r="G304" t="s">
        <v>108</v>
      </c>
      <c r="H304" t="s">
        <v>40</v>
      </c>
      <c r="I304" t="s">
        <v>758</v>
      </c>
      <c r="J304" t="str">
        <f t="shared" si="38"/>
        <v>gmail.com</v>
      </c>
      <c r="K304" t="s">
        <v>757</v>
      </c>
      <c r="L304" t="s">
        <v>1042</v>
      </c>
      <c r="M304" s="2">
        <v>45206</v>
      </c>
      <c r="N304" t="s">
        <v>1041</v>
      </c>
      <c r="O304" t="s">
        <v>644</v>
      </c>
      <c r="P304">
        <v>190.1</v>
      </c>
      <c r="Q304">
        <v>1</v>
      </c>
      <c r="R304" t="s">
        <v>64</v>
      </c>
      <c r="S304" s="5">
        <v>20</v>
      </c>
      <c r="T304" s="3">
        <v>3</v>
      </c>
      <c r="U304" s="4" t="str">
        <f t="shared" si="39"/>
        <v>Before_time</v>
      </c>
      <c r="V304">
        <v>63</v>
      </c>
      <c r="W304" s="3">
        <f t="shared" si="40"/>
        <v>1</v>
      </c>
      <c r="X304" s="2">
        <v>45207</v>
      </c>
      <c r="Y304" s="1">
        <f>YEAR(Table2[[#This Row],[Delivery_Date]])</f>
        <v>2023</v>
      </c>
      <c r="Z304" s="2" t="str">
        <f t="shared" si="41"/>
        <v>Oct</v>
      </c>
      <c r="AA304" t="s">
        <v>1040</v>
      </c>
      <c r="AB304">
        <f t="shared" si="42"/>
        <v>215.08</v>
      </c>
      <c r="AC304">
        <f>Table2[[#This Row],[Price]]*Table2[[#This Row],[Quantity]]*Table2[[#This Row],[COUPON %]]/100</f>
        <v>38.020000000000003</v>
      </c>
      <c r="AD304">
        <f t="shared" si="43"/>
        <v>152.08000000000001</v>
      </c>
      <c r="AE304" s="1">
        <f t="shared" si="44"/>
        <v>190.1</v>
      </c>
    </row>
    <row r="305" spans="1:31" x14ac:dyDescent="0.25">
      <c r="A305" t="s">
        <v>861</v>
      </c>
      <c r="B305" t="str">
        <f t="shared" si="36"/>
        <v xml:space="preserve">Thomas Owens </v>
      </c>
      <c r="C305" t="s">
        <v>369</v>
      </c>
      <c r="D305" t="s">
        <v>860</v>
      </c>
      <c r="E305">
        <v>34</v>
      </c>
      <c r="F305" t="str">
        <f t="shared" si="37"/>
        <v>26-35</v>
      </c>
      <c r="G305" t="s">
        <v>8</v>
      </c>
      <c r="H305" t="s">
        <v>18</v>
      </c>
      <c r="I305" t="s">
        <v>859</v>
      </c>
      <c r="J305" t="str">
        <f t="shared" si="38"/>
        <v>outlook.com</v>
      </c>
      <c r="K305" t="s">
        <v>858</v>
      </c>
      <c r="L305" t="s">
        <v>1039</v>
      </c>
      <c r="M305" s="2">
        <v>45324</v>
      </c>
      <c r="N305" t="s">
        <v>1038</v>
      </c>
      <c r="O305" t="s">
        <v>190</v>
      </c>
      <c r="P305">
        <v>158.53</v>
      </c>
      <c r="Q305">
        <v>3</v>
      </c>
      <c r="R305" t="s">
        <v>64</v>
      </c>
      <c r="S305" s="5">
        <v>20</v>
      </c>
      <c r="T305" s="3">
        <v>6</v>
      </c>
      <c r="U305" s="4" t="str">
        <f t="shared" si="39"/>
        <v>Late_Delivery</v>
      </c>
      <c r="V305">
        <v>38</v>
      </c>
      <c r="W305" s="3">
        <f t="shared" si="40"/>
        <v>7</v>
      </c>
      <c r="X305" s="2">
        <v>45331</v>
      </c>
      <c r="Y305" s="1">
        <f>YEAR(Table2[[#This Row],[Delivery_Date]])</f>
        <v>2024</v>
      </c>
      <c r="Z305" s="2" t="str">
        <f t="shared" si="41"/>
        <v>Feb</v>
      </c>
      <c r="AA305" t="s">
        <v>1037</v>
      </c>
      <c r="AB305">
        <f t="shared" si="42"/>
        <v>418.47200000000004</v>
      </c>
      <c r="AC305">
        <f>Table2[[#This Row],[Price]]*Table2[[#This Row],[Quantity]]*Table2[[#This Row],[COUPON %]]/100</f>
        <v>95.118000000000009</v>
      </c>
      <c r="AD305">
        <f t="shared" si="43"/>
        <v>380.47200000000004</v>
      </c>
      <c r="AE305" s="1">
        <f t="shared" si="44"/>
        <v>475.59000000000003</v>
      </c>
    </row>
    <row r="306" spans="1:31" x14ac:dyDescent="0.25">
      <c r="A306" t="s">
        <v>1036</v>
      </c>
      <c r="B306" t="str">
        <f t="shared" si="36"/>
        <v xml:space="preserve">Jessica Ruiz </v>
      </c>
      <c r="C306" t="s">
        <v>1035</v>
      </c>
      <c r="D306" t="s">
        <v>1034</v>
      </c>
      <c r="E306">
        <v>19</v>
      </c>
      <c r="F306" t="str">
        <f t="shared" si="37"/>
        <v>0-25</v>
      </c>
      <c r="G306" t="s">
        <v>29</v>
      </c>
      <c r="H306" t="s">
        <v>28</v>
      </c>
      <c r="I306" t="s">
        <v>1033</v>
      </c>
      <c r="J306" t="str">
        <f t="shared" si="38"/>
        <v>rediffmail.com</v>
      </c>
      <c r="K306" t="s">
        <v>1032</v>
      </c>
      <c r="L306" t="s">
        <v>1031</v>
      </c>
      <c r="M306" s="2">
        <v>45272</v>
      </c>
      <c r="N306" t="s">
        <v>1030</v>
      </c>
      <c r="O306" t="s">
        <v>2</v>
      </c>
      <c r="P306">
        <v>44.5</v>
      </c>
      <c r="Q306">
        <v>1</v>
      </c>
      <c r="R306" t="s">
        <v>166</v>
      </c>
      <c r="S306" s="5">
        <v>10</v>
      </c>
      <c r="T306" s="3">
        <v>4</v>
      </c>
      <c r="U306" s="4" t="str">
        <f t="shared" si="39"/>
        <v>Late_Delivery</v>
      </c>
      <c r="V306">
        <v>49</v>
      </c>
      <c r="W306" s="3">
        <f t="shared" si="40"/>
        <v>6</v>
      </c>
      <c r="X306" s="2">
        <v>45278</v>
      </c>
      <c r="Y306" s="1">
        <f>YEAR(Table2[[#This Row],[Delivery_Date]])</f>
        <v>2023</v>
      </c>
      <c r="Z306" s="2" t="str">
        <f t="shared" si="41"/>
        <v>Dec</v>
      </c>
      <c r="AA306" t="s">
        <v>1029</v>
      </c>
      <c r="AB306">
        <f t="shared" si="42"/>
        <v>89.050000000000011</v>
      </c>
      <c r="AC306">
        <f>Table2[[#This Row],[Price]]*Table2[[#This Row],[Quantity]]*Table2[[#This Row],[COUPON %]]/100</f>
        <v>4.45</v>
      </c>
      <c r="AD306">
        <f t="shared" si="43"/>
        <v>40.050000000000004</v>
      </c>
      <c r="AE306" s="1">
        <f t="shared" si="44"/>
        <v>44.5</v>
      </c>
    </row>
    <row r="307" spans="1:31" x14ac:dyDescent="0.25">
      <c r="A307" t="s">
        <v>147</v>
      </c>
      <c r="B307" t="str">
        <f t="shared" si="36"/>
        <v xml:space="preserve">Courtney Parker </v>
      </c>
      <c r="C307" t="s">
        <v>146</v>
      </c>
      <c r="D307" t="s">
        <v>145</v>
      </c>
      <c r="E307">
        <v>29</v>
      </c>
      <c r="F307" t="str">
        <f t="shared" si="37"/>
        <v>26-35</v>
      </c>
      <c r="G307" t="s">
        <v>8</v>
      </c>
      <c r="H307" t="s">
        <v>118</v>
      </c>
      <c r="I307" t="s">
        <v>144</v>
      </c>
      <c r="J307" t="str">
        <f t="shared" si="38"/>
        <v>yahoo.com</v>
      </c>
      <c r="K307" t="s">
        <v>143</v>
      </c>
      <c r="L307" t="s">
        <v>1028</v>
      </c>
      <c r="M307" s="2">
        <v>45616</v>
      </c>
      <c r="N307" t="s">
        <v>1027</v>
      </c>
      <c r="O307" t="s">
        <v>74</v>
      </c>
      <c r="P307">
        <v>129.75</v>
      </c>
      <c r="Q307">
        <v>2</v>
      </c>
      <c r="R307" t="s">
        <v>1</v>
      </c>
      <c r="S307" s="5">
        <v>0</v>
      </c>
      <c r="T307" s="3">
        <v>4</v>
      </c>
      <c r="U307" s="4" t="str">
        <f t="shared" si="39"/>
        <v>On_time</v>
      </c>
      <c r="V307">
        <v>53</v>
      </c>
      <c r="W307" s="3">
        <f t="shared" si="40"/>
        <v>4</v>
      </c>
      <c r="X307" s="2">
        <v>45620</v>
      </c>
      <c r="Y307" s="1">
        <f>YEAR(Table2[[#This Row],[Delivery_Date]])</f>
        <v>2024</v>
      </c>
      <c r="Z307" s="2" t="str">
        <f t="shared" si="41"/>
        <v>Nov</v>
      </c>
      <c r="AA307" t="s">
        <v>1026</v>
      </c>
      <c r="AB307">
        <f t="shared" si="42"/>
        <v>312.5</v>
      </c>
      <c r="AC307">
        <f>Table2[[#This Row],[Price]]*Table2[[#This Row],[Quantity]]*Table2[[#This Row],[COUPON %]]/100</f>
        <v>0</v>
      </c>
      <c r="AD307">
        <f t="shared" si="43"/>
        <v>259.5</v>
      </c>
      <c r="AE307" s="1">
        <f t="shared" si="44"/>
        <v>259.5</v>
      </c>
    </row>
    <row r="308" spans="1:31" x14ac:dyDescent="0.25">
      <c r="A308" t="s">
        <v>801</v>
      </c>
      <c r="B308" t="str">
        <f t="shared" si="36"/>
        <v xml:space="preserve">Mark Summers </v>
      </c>
      <c r="C308" t="s">
        <v>51</v>
      </c>
      <c r="D308" t="s">
        <v>800</v>
      </c>
      <c r="E308">
        <v>55</v>
      </c>
      <c r="F308" t="str">
        <f t="shared" si="37"/>
        <v>&gt;45</v>
      </c>
      <c r="G308" t="s">
        <v>29</v>
      </c>
      <c r="H308" t="s">
        <v>40</v>
      </c>
      <c r="I308" t="s">
        <v>799</v>
      </c>
      <c r="J308" t="str">
        <f t="shared" si="38"/>
        <v>outlook.com</v>
      </c>
      <c r="K308" t="s">
        <v>798</v>
      </c>
      <c r="L308" t="s">
        <v>1025</v>
      </c>
      <c r="M308" s="2">
        <v>45324</v>
      </c>
      <c r="N308" t="s">
        <v>1024</v>
      </c>
      <c r="O308" t="s">
        <v>714</v>
      </c>
      <c r="P308">
        <v>175.93</v>
      </c>
      <c r="Q308">
        <v>2</v>
      </c>
      <c r="R308" t="s">
        <v>1</v>
      </c>
      <c r="S308" s="5">
        <v>0</v>
      </c>
      <c r="T308" s="3">
        <v>6</v>
      </c>
      <c r="U308" s="4" t="str">
        <f t="shared" si="39"/>
        <v>Before_time</v>
      </c>
      <c r="V308">
        <v>50</v>
      </c>
      <c r="W308" s="3">
        <f t="shared" si="40"/>
        <v>1</v>
      </c>
      <c r="X308" s="2">
        <v>45325</v>
      </c>
      <c r="Y308" s="1">
        <f>YEAR(Table2[[#This Row],[Delivery_Date]])</f>
        <v>2024</v>
      </c>
      <c r="Z308" s="2" t="str">
        <f t="shared" si="41"/>
        <v>Feb</v>
      </c>
      <c r="AA308" t="s">
        <v>1023</v>
      </c>
      <c r="AB308">
        <f t="shared" si="42"/>
        <v>401.86</v>
      </c>
      <c r="AC308">
        <f>Table2[[#This Row],[Price]]*Table2[[#This Row],[Quantity]]*Table2[[#This Row],[COUPON %]]/100</f>
        <v>0</v>
      </c>
      <c r="AD308">
        <f t="shared" si="43"/>
        <v>351.86</v>
      </c>
      <c r="AE308" s="1">
        <f t="shared" si="44"/>
        <v>351.86</v>
      </c>
    </row>
    <row r="309" spans="1:31" x14ac:dyDescent="0.25">
      <c r="A309" t="s">
        <v>827</v>
      </c>
      <c r="B309" t="str">
        <f t="shared" si="36"/>
        <v xml:space="preserve">Susan Thompson </v>
      </c>
      <c r="C309" t="s">
        <v>826</v>
      </c>
      <c r="D309" t="s">
        <v>119</v>
      </c>
      <c r="E309">
        <v>37</v>
      </c>
      <c r="F309" t="str">
        <f t="shared" si="37"/>
        <v>36-45</v>
      </c>
      <c r="G309" t="s">
        <v>8</v>
      </c>
      <c r="H309" t="s">
        <v>18</v>
      </c>
      <c r="I309" t="s">
        <v>825</v>
      </c>
      <c r="J309" t="str">
        <f t="shared" si="38"/>
        <v>outlook.com</v>
      </c>
      <c r="K309" t="s">
        <v>824</v>
      </c>
      <c r="L309" t="s">
        <v>1022</v>
      </c>
      <c r="M309" s="2">
        <v>45671</v>
      </c>
      <c r="N309" t="s">
        <v>1021</v>
      </c>
      <c r="O309" t="s">
        <v>667</v>
      </c>
      <c r="P309">
        <v>421.7</v>
      </c>
      <c r="Q309">
        <v>5</v>
      </c>
      <c r="R309" t="s">
        <v>93</v>
      </c>
      <c r="S309" s="5">
        <v>15</v>
      </c>
      <c r="T309" s="3">
        <v>2</v>
      </c>
      <c r="U309" s="4" t="str">
        <f t="shared" si="39"/>
        <v>Late_Delivery</v>
      </c>
      <c r="V309">
        <v>56</v>
      </c>
      <c r="W309" s="3">
        <f t="shared" si="40"/>
        <v>3</v>
      </c>
      <c r="X309" s="2">
        <v>45674</v>
      </c>
      <c r="Y309" s="1">
        <f>YEAR(Table2[[#This Row],[Delivery_Date]])</f>
        <v>2025</v>
      </c>
      <c r="Z309" s="2" t="str">
        <f t="shared" si="41"/>
        <v>Jan</v>
      </c>
      <c r="AA309" t="s">
        <v>1020</v>
      </c>
      <c r="AB309">
        <f t="shared" si="42"/>
        <v>1848.2249999999999</v>
      </c>
      <c r="AC309">
        <f>Table2[[#This Row],[Price]]*Table2[[#This Row],[Quantity]]*Table2[[#This Row],[COUPON %]]/100</f>
        <v>316.27499999999998</v>
      </c>
      <c r="AD309">
        <f t="shared" si="43"/>
        <v>1792.2249999999999</v>
      </c>
      <c r="AE309" s="1">
        <f t="shared" si="44"/>
        <v>2108.5</v>
      </c>
    </row>
    <row r="310" spans="1:31" x14ac:dyDescent="0.25">
      <c r="A310" t="s">
        <v>386</v>
      </c>
      <c r="B310" t="str">
        <f t="shared" si="36"/>
        <v xml:space="preserve">William Mann </v>
      </c>
      <c r="C310" t="s">
        <v>385</v>
      </c>
      <c r="D310" t="s">
        <v>384</v>
      </c>
      <c r="E310">
        <v>21</v>
      </c>
      <c r="F310" t="str">
        <f t="shared" si="37"/>
        <v>0-25</v>
      </c>
      <c r="G310" t="s">
        <v>108</v>
      </c>
      <c r="H310" t="s">
        <v>7</v>
      </c>
      <c r="I310" t="s">
        <v>383</v>
      </c>
      <c r="J310" t="str">
        <f t="shared" si="38"/>
        <v>yahoo.com</v>
      </c>
      <c r="K310" t="s">
        <v>382</v>
      </c>
      <c r="L310" t="s">
        <v>1019</v>
      </c>
      <c r="M310" s="2">
        <v>45064</v>
      </c>
      <c r="N310" t="s">
        <v>1018</v>
      </c>
      <c r="O310" t="s">
        <v>281</v>
      </c>
      <c r="P310">
        <v>445.81</v>
      </c>
      <c r="Q310">
        <v>1</v>
      </c>
      <c r="R310" t="s">
        <v>64</v>
      </c>
      <c r="S310" s="5">
        <v>20</v>
      </c>
      <c r="T310" s="3">
        <v>7</v>
      </c>
      <c r="U310" s="4" t="str">
        <f t="shared" si="39"/>
        <v>On_time</v>
      </c>
      <c r="V310">
        <v>41</v>
      </c>
      <c r="W310" s="3">
        <f t="shared" si="40"/>
        <v>7</v>
      </c>
      <c r="X310" s="2">
        <v>45071</v>
      </c>
      <c r="Y310" s="1">
        <f>YEAR(Table2[[#This Row],[Delivery_Date]])</f>
        <v>2023</v>
      </c>
      <c r="Z310" s="2" t="str">
        <f t="shared" si="41"/>
        <v>May</v>
      </c>
      <c r="AA310" t="s">
        <v>1017</v>
      </c>
      <c r="AB310">
        <f t="shared" si="42"/>
        <v>397.64800000000002</v>
      </c>
      <c r="AC310">
        <f>Table2[[#This Row],[Price]]*Table2[[#This Row],[Quantity]]*Table2[[#This Row],[COUPON %]]/100</f>
        <v>89.162000000000006</v>
      </c>
      <c r="AD310">
        <f t="shared" si="43"/>
        <v>356.64800000000002</v>
      </c>
      <c r="AE310" s="1">
        <f t="shared" si="44"/>
        <v>445.81</v>
      </c>
    </row>
    <row r="311" spans="1:31" x14ac:dyDescent="0.25">
      <c r="A311" t="s">
        <v>464</v>
      </c>
      <c r="B311" t="str">
        <f t="shared" si="36"/>
        <v xml:space="preserve">Troy Gomez </v>
      </c>
      <c r="C311" t="s">
        <v>463</v>
      </c>
      <c r="D311" t="s">
        <v>462</v>
      </c>
      <c r="E311">
        <v>68</v>
      </c>
      <c r="F311" t="str">
        <f t="shared" si="37"/>
        <v>&gt;45</v>
      </c>
      <c r="G311" t="s">
        <v>108</v>
      </c>
      <c r="H311" t="s">
        <v>18</v>
      </c>
      <c r="I311" t="s">
        <v>461</v>
      </c>
      <c r="J311" t="str">
        <f t="shared" si="38"/>
        <v>outlook.com</v>
      </c>
      <c r="K311" t="s">
        <v>460</v>
      </c>
      <c r="L311" t="s">
        <v>1016</v>
      </c>
      <c r="M311" s="2">
        <v>44973</v>
      </c>
      <c r="N311" t="s">
        <v>1015</v>
      </c>
      <c r="O311" t="s">
        <v>494</v>
      </c>
      <c r="P311">
        <v>425.59</v>
      </c>
      <c r="Q311">
        <v>2</v>
      </c>
      <c r="R311" t="s">
        <v>1</v>
      </c>
      <c r="S311" s="5">
        <v>0</v>
      </c>
      <c r="T311" s="3">
        <v>2</v>
      </c>
      <c r="U311" s="4" t="str">
        <f t="shared" si="39"/>
        <v>Late_Delivery</v>
      </c>
      <c r="V311">
        <v>67</v>
      </c>
      <c r="W311" s="3">
        <f t="shared" si="40"/>
        <v>4</v>
      </c>
      <c r="X311" s="2">
        <v>44977</v>
      </c>
      <c r="Y311" s="1">
        <f>YEAR(Table2[[#This Row],[Delivery_Date]])</f>
        <v>2023</v>
      </c>
      <c r="Z311" s="2" t="str">
        <f t="shared" si="41"/>
        <v>Feb</v>
      </c>
      <c r="AA311" t="s">
        <v>1014</v>
      </c>
      <c r="AB311">
        <f t="shared" si="42"/>
        <v>918.18</v>
      </c>
      <c r="AC311">
        <f>Table2[[#This Row],[Price]]*Table2[[#This Row],[Quantity]]*Table2[[#This Row],[COUPON %]]/100</f>
        <v>0</v>
      </c>
      <c r="AD311">
        <f t="shared" si="43"/>
        <v>851.18</v>
      </c>
      <c r="AE311" s="1">
        <f t="shared" si="44"/>
        <v>851.18</v>
      </c>
    </row>
    <row r="312" spans="1:31" x14ac:dyDescent="0.25">
      <c r="A312" t="s">
        <v>82</v>
      </c>
      <c r="B312" t="str">
        <f t="shared" si="36"/>
        <v xml:space="preserve">Robert Castillo </v>
      </c>
      <c r="C312" t="s">
        <v>81</v>
      </c>
      <c r="D312" t="s">
        <v>80</v>
      </c>
      <c r="E312">
        <v>32</v>
      </c>
      <c r="F312" t="str">
        <f t="shared" si="37"/>
        <v>26-35</v>
      </c>
      <c r="G312" t="s">
        <v>29</v>
      </c>
      <c r="H312" t="s">
        <v>79</v>
      </c>
      <c r="I312" t="s">
        <v>78</v>
      </c>
      <c r="J312" t="str">
        <f t="shared" si="38"/>
        <v>gmail.com</v>
      </c>
      <c r="K312" t="s">
        <v>77</v>
      </c>
      <c r="L312" t="s">
        <v>1013</v>
      </c>
      <c r="M312" s="2">
        <v>45515</v>
      </c>
      <c r="N312" t="s">
        <v>1012</v>
      </c>
      <c r="O312" t="s">
        <v>494</v>
      </c>
      <c r="P312">
        <v>425.59</v>
      </c>
      <c r="Q312">
        <v>1</v>
      </c>
      <c r="R312" t="s">
        <v>34</v>
      </c>
      <c r="S312" s="5">
        <v>8</v>
      </c>
      <c r="T312" s="3">
        <v>1</v>
      </c>
      <c r="U312" s="4" t="str">
        <f t="shared" si="39"/>
        <v>Late_Delivery</v>
      </c>
      <c r="V312">
        <v>62</v>
      </c>
      <c r="W312" s="3">
        <f t="shared" si="40"/>
        <v>3</v>
      </c>
      <c r="X312" s="2">
        <v>45518</v>
      </c>
      <c r="Y312" s="1">
        <f>YEAR(Table2[[#This Row],[Delivery_Date]])</f>
        <v>2024</v>
      </c>
      <c r="Z312" s="2" t="str">
        <f t="shared" si="41"/>
        <v>Aug</v>
      </c>
      <c r="AA312" t="s">
        <v>1011</v>
      </c>
      <c r="AB312">
        <f t="shared" si="42"/>
        <v>453.5428</v>
      </c>
      <c r="AC312">
        <f>Table2[[#This Row],[Price]]*Table2[[#This Row],[Quantity]]*Table2[[#This Row],[COUPON %]]/100</f>
        <v>34.047199999999997</v>
      </c>
      <c r="AD312">
        <f t="shared" si="43"/>
        <v>391.5428</v>
      </c>
      <c r="AE312" s="1">
        <f t="shared" si="44"/>
        <v>425.59</v>
      </c>
    </row>
    <row r="313" spans="1:31" x14ac:dyDescent="0.25">
      <c r="A313" t="s">
        <v>801</v>
      </c>
      <c r="B313" t="str">
        <f t="shared" si="36"/>
        <v xml:space="preserve">Mark Summers </v>
      </c>
      <c r="C313" t="s">
        <v>51</v>
      </c>
      <c r="D313" t="s">
        <v>800</v>
      </c>
      <c r="E313">
        <v>55</v>
      </c>
      <c r="F313" t="str">
        <f t="shared" si="37"/>
        <v>&gt;45</v>
      </c>
      <c r="G313" t="s">
        <v>29</v>
      </c>
      <c r="H313" t="s">
        <v>40</v>
      </c>
      <c r="I313" t="s">
        <v>799</v>
      </c>
      <c r="J313" t="str">
        <f t="shared" si="38"/>
        <v>outlook.com</v>
      </c>
      <c r="K313" t="s">
        <v>798</v>
      </c>
      <c r="L313" t="s">
        <v>1010</v>
      </c>
      <c r="M313" s="2">
        <v>44976</v>
      </c>
      <c r="N313" t="s">
        <v>1009</v>
      </c>
      <c r="O313" t="s">
        <v>35</v>
      </c>
      <c r="P313">
        <v>128.13999999999999</v>
      </c>
      <c r="Q313">
        <v>1</v>
      </c>
      <c r="R313" t="s">
        <v>166</v>
      </c>
      <c r="S313" s="5">
        <v>10</v>
      </c>
      <c r="T313" s="3">
        <v>1</v>
      </c>
      <c r="U313" s="4" t="str">
        <f t="shared" si="39"/>
        <v>Late_Delivery</v>
      </c>
      <c r="V313">
        <v>39</v>
      </c>
      <c r="W313" s="3">
        <f t="shared" si="40"/>
        <v>6</v>
      </c>
      <c r="X313" s="2">
        <v>44982</v>
      </c>
      <c r="Y313" s="1">
        <f>YEAR(Table2[[#This Row],[Delivery_Date]])</f>
        <v>2023</v>
      </c>
      <c r="Z313" s="2" t="str">
        <f t="shared" si="41"/>
        <v>Feb</v>
      </c>
      <c r="AA313" t="s">
        <v>865</v>
      </c>
      <c r="AB313">
        <f t="shared" si="42"/>
        <v>154.32599999999999</v>
      </c>
      <c r="AC313">
        <f>Table2[[#This Row],[Price]]*Table2[[#This Row],[Quantity]]*Table2[[#This Row],[COUPON %]]/100</f>
        <v>12.813999999999998</v>
      </c>
      <c r="AD313">
        <f t="shared" si="43"/>
        <v>115.32599999999999</v>
      </c>
      <c r="AE313" s="1">
        <f t="shared" si="44"/>
        <v>128.13999999999999</v>
      </c>
    </row>
    <row r="314" spans="1:31" x14ac:dyDescent="0.25">
      <c r="A314" t="s">
        <v>846</v>
      </c>
      <c r="B314" t="str">
        <f t="shared" si="36"/>
        <v xml:space="preserve">Brendan Kelly </v>
      </c>
      <c r="C314" t="s">
        <v>845</v>
      </c>
      <c r="D314" t="s">
        <v>844</v>
      </c>
      <c r="E314">
        <v>50</v>
      </c>
      <c r="F314" t="str">
        <f t="shared" si="37"/>
        <v>&gt;45</v>
      </c>
      <c r="G314" t="s">
        <v>8</v>
      </c>
      <c r="H314" t="s">
        <v>79</v>
      </c>
      <c r="I314" t="s">
        <v>843</v>
      </c>
      <c r="J314" t="str">
        <f t="shared" si="38"/>
        <v>rediffmail.com</v>
      </c>
      <c r="K314" t="s">
        <v>842</v>
      </c>
      <c r="L314" t="s">
        <v>1008</v>
      </c>
      <c r="M314" s="2">
        <v>45684</v>
      </c>
      <c r="N314" t="s">
        <v>1007</v>
      </c>
      <c r="O314" t="s">
        <v>299</v>
      </c>
      <c r="P314">
        <v>235.63</v>
      </c>
      <c r="Q314">
        <v>1</v>
      </c>
      <c r="R314" t="s">
        <v>64</v>
      </c>
      <c r="S314" s="5">
        <v>20</v>
      </c>
      <c r="T314" s="3">
        <v>7</v>
      </c>
      <c r="U314" s="4" t="str">
        <f t="shared" si="39"/>
        <v>Before_time</v>
      </c>
      <c r="V314">
        <v>46</v>
      </c>
      <c r="W314" s="3">
        <f t="shared" si="40"/>
        <v>5</v>
      </c>
      <c r="X314" s="2">
        <v>45689</v>
      </c>
      <c r="Y314" s="1">
        <f>YEAR(Table2[[#This Row],[Delivery_Date]])</f>
        <v>2025</v>
      </c>
      <c r="Z314" s="2" t="str">
        <f t="shared" si="41"/>
        <v>Feb</v>
      </c>
      <c r="AA314" t="s">
        <v>1006</v>
      </c>
      <c r="AB314">
        <f t="shared" si="42"/>
        <v>234.50400000000002</v>
      </c>
      <c r="AC314">
        <f>Table2[[#This Row],[Price]]*Table2[[#This Row],[Quantity]]*Table2[[#This Row],[COUPON %]]/100</f>
        <v>47.126000000000005</v>
      </c>
      <c r="AD314">
        <f t="shared" si="43"/>
        <v>188.50400000000002</v>
      </c>
      <c r="AE314" s="1">
        <f t="shared" si="44"/>
        <v>235.63</v>
      </c>
    </row>
    <row r="315" spans="1:31" x14ac:dyDescent="0.25">
      <c r="A315" t="s">
        <v>537</v>
      </c>
      <c r="B315" t="str">
        <f t="shared" si="36"/>
        <v xml:space="preserve">Lauren Lane </v>
      </c>
      <c r="C315" t="s">
        <v>254</v>
      </c>
      <c r="D315" t="s">
        <v>536</v>
      </c>
      <c r="E315">
        <v>30</v>
      </c>
      <c r="F315" t="str">
        <f t="shared" si="37"/>
        <v>26-35</v>
      </c>
      <c r="G315" t="s">
        <v>108</v>
      </c>
      <c r="H315" t="s">
        <v>18</v>
      </c>
      <c r="I315" t="s">
        <v>535</v>
      </c>
      <c r="J315" t="str">
        <f t="shared" si="38"/>
        <v>gmail.com</v>
      </c>
      <c r="K315" t="s">
        <v>534</v>
      </c>
      <c r="L315" t="s">
        <v>1005</v>
      </c>
      <c r="M315" s="2">
        <v>45400</v>
      </c>
      <c r="N315" t="s">
        <v>1004</v>
      </c>
      <c r="O315" t="s">
        <v>347</v>
      </c>
      <c r="P315">
        <v>157.63999999999999</v>
      </c>
      <c r="Q315">
        <v>2</v>
      </c>
      <c r="R315" t="s">
        <v>64</v>
      </c>
      <c r="S315" s="5">
        <v>20</v>
      </c>
      <c r="T315" s="3">
        <v>1</v>
      </c>
      <c r="U315" s="4" t="str">
        <f t="shared" si="39"/>
        <v>On_time</v>
      </c>
      <c r="V315">
        <v>57</v>
      </c>
      <c r="W315" s="3">
        <f t="shared" si="40"/>
        <v>1</v>
      </c>
      <c r="X315" s="2">
        <v>45401</v>
      </c>
      <c r="Y315" s="1">
        <f>YEAR(Table2[[#This Row],[Delivery_Date]])</f>
        <v>2024</v>
      </c>
      <c r="Z315" s="2" t="str">
        <f t="shared" si="41"/>
        <v>Apr</v>
      </c>
      <c r="AA315" t="s">
        <v>1003</v>
      </c>
      <c r="AB315">
        <f t="shared" si="42"/>
        <v>309.22399999999999</v>
      </c>
      <c r="AC315">
        <f>Table2[[#This Row],[Price]]*Table2[[#This Row],[Quantity]]*Table2[[#This Row],[COUPON %]]/100</f>
        <v>63.055999999999997</v>
      </c>
      <c r="AD315">
        <f t="shared" si="43"/>
        <v>252.22399999999999</v>
      </c>
      <c r="AE315" s="1">
        <f t="shared" si="44"/>
        <v>315.27999999999997</v>
      </c>
    </row>
    <row r="316" spans="1:31" x14ac:dyDescent="0.25">
      <c r="A316" t="s">
        <v>271</v>
      </c>
      <c r="B316" t="str">
        <f t="shared" si="36"/>
        <v xml:space="preserve">Amy Griffin </v>
      </c>
      <c r="C316" t="s">
        <v>270</v>
      </c>
      <c r="D316" t="s">
        <v>269</v>
      </c>
      <c r="E316">
        <v>29</v>
      </c>
      <c r="F316" t="str">
        <f t="shared" si="37"/>
        <v>26-35</v>
      </c>
      <c r="G316" t="s">
        <v>108</v>
      </c>
      <c r="H316" t="s">
        <v>7</v>
      </c>
      <c r="I316" t="s">
        <v>268</v>
      </c>
      <c r="J316" t="str">
        <f t="shared" si="38"/>
        <v>rediffmail.com</v>
      </c>
      <c r="K316" t="s">
        <v>267</v>
      </c>
      <c r="L316" t="s">
        <v>1002</v>
      </c>
      <c r="M316" s="2">
        <v>45108</v>
      </c>
      <c r="N316" t="s">
        <v>1001</v>
      </c>
      <c r="O316" t="s">
        <v>224</v>
      </c>
      <c r="P316">
        <v>132.97</v>
      </c>
      <c r="Q316">
        <v>3</v>
      </c>
      <c r="R316" t="s">
        <v>93</v>
      </c>
      <c r="S316" s="5">
        <v>15</v>
      </c>
      <c r="T316" s="3">
        <v>3</v>
      </c>
      <c r="U316" s="4" t="str">
        <f t="shared" si="39"/>
        <v>Before_time</v>
      </c>
      <c r="V316">
        <v>36</v>
      </c>
      <c r="W316" s="3">
        <f t="shared" si="40"/>
        <v>2</v>
      </c>
      <c r="X316" s="2">
        <v>45110</v>
      </c>
      <c r="Y316" s="1">
        <f>YEAR(Table2[[#This Row],[Delivery_Date]])</f>
        <v>2023</v>
      </c>
      <c r="Z316" s="2" t="str">
        <f t="shared" si="41"/>
        <v>Jul</v>
      </c>
      <c r="AA316" t="s">
        <v>1000</v>
      </c>
      <c r="AB316">
        <f t="shared" si="42"/>
        <v>375.07349999999997</v>
      </c>
      <c r="AC316">
        <f>Table2[[#This Row],[Price]]*Table2[[#This Row],[Quantity]]*Table2[[#This Row],[COUPON %]]/100</f>
        <v>59.836499999999994</v>
      </c>
      <c r="AD316">
        <f t="shared" si="43"/>
        <v>339.07349999999997</v>
      </c>
      <c r="AE316" s="1">
        <f t="shared" si="44"/>
        <v>398.90999999999997</v>
      </c>
    </row>
    <row r="317" spans="1:31" x14ac:dyDescent="0.25">
      <c r="A317" t="s">
        <v>82</v>
      </c>
      <c r="B317" t="str">
        <f t="shared" si="36"/>
        <v xml:space="preserve">Robert Castillo </v>
      </c>
      <c r="C317" t="s">
        <v>81</v>
      </c>
      <c r="D317" t="s">
        <v>80</v>
      </c>
      <c r="E317">
        <v>32</v>
      </c>
      <c r="F317" t="str">
        <f t="shared" si="37"/>
        <v>26-35</v>
      </c>
      <c r="G317" t="s">
        <v>29</v>
      </c>
      <c r="H317" t="s">
        <v>79</v>
      </c>
      <c r="I317" t="s">
        <v>78</v>
      </c>
      <c r="J317" t="str">
        <f t="shared" si="38"/>
        <v>gmail.com</v>
      </c>
      <c r="K317" t="s">
        <v>77</v>
      </c>
      <c r="L317" t="s">
        <v>999</v>
      </c>
      <c r="M317" s="2">
        <v>45143</v>
      </c>
      <c r="N317" t="s">
        <v>998</v>
      </c>
      <c r="O317" t="s">
        <v>149</v>
      </c>
      <c r="P317">
        <v>481.48</v>
      </c>
      <c r="Q317">
        <v>1</v>
      </c>
      <c r="R317" t="s">
        <v>93</v>
      </c>
      <c r="S317" s="5">
        <v>15</v>
      </c>
      <c r="T317" s="3">
        <v>4</v>
      </c>
      <c r="U317" s="4" t="str">
        <f t="shared" si="39"/>
        <v>Late_Delivery</v>
      </c>
      <c r="V317">
        <v>67</v>
      </c>
      <c r="W317" s="3">
        <f t="shared" si="40"/>
        <v>7</v>
      </c>
      <c r="X317" s="2">
        <v>45150</v>
      </c>
      <c r="Y317" s="1">
        <f>YEAR(Table2[[#This Row],[Delivery_Date]])</f>
        <v>2023</v>
      </c>
      <c r="Z317" s="2" t="str">
        <f t="shared" si="41"/>
        <v>Aug</v>
      </c>
      <c r="AA317" t="s">
        <v>997</v>
      </c>
      <c r="AB317">
        <f t="shared" si="42"/>
        <v>476.25799999999998</v>
      </c>
      <c r="AC317">
        <f>Table2[[#This Row],[Price]]*Table2[[#This Row],[Quantity]]*Table2[[#This Row],[COUPON %]]/100</f>
        <v>72.222000000000008</v>
      </c>
      <c r="AD317">
        <f t="shared" si="43"/>
        <v>409.25799999999998</v>
      </c>
      <c r="AE317" s="1">
        <f t="shared" si="44"/>
        <v>481.48</v>
      </c>
    </row>
    <row r="318" spans="1:31" x14ac:dyDescent="0.25">
      <c r="A318" t="s">
        <v>62</v>
      </c>
      <c r="B318" t="str">
        <f t="shared" si="36"/>
        <v xml:space="preserve">Kara Brennan </v>
      </c>
      <c r="C318" t="s">
        <v>61</v>
      </c>
      <c r="D318" t="s">
        <v>60</v>
      </c>
      <c r="E318">
        <v>25</v>
      </c>
      <c r="F318" t="str">
        <f t="shared" si="37"/>
        <v>0-25</v>
      </c>
      <c r="G318" t="s">
        <v>8</v>
      </c>
      <c r="H318" t="s">
        <v>59</v>
      </c>
      <c r="I318" t="s">
        <v>58</v>
      </c>
      <c r="J318" t="str">
        <f t="shared" si="38"/>
        <v>outlook.com</v>
      </c>
      <c r="K318" t="s">
        <v>57</v>
      </c>
      <c r="L318" t="s">
        <v>996</v>
      </c>
      <c r="M318" s="2">
        <v>45211</v>
      </c>
      <c r="N318" t="s">
        <v>995</v>
      </c>
      <c r="O318" t="s">
        <v>149</v>
      </c>
      <c r="P318">
        <v>481.48</v>
      </c>
      <c r="Q318">
        <v>2</v>
      </c>
      <c r="R318" t="s">
        <v>166</v>
      </c>
      <c r="S318" s="5">
        <v>10</v>
      </c>
      <c r="T318" s="3">
        <v>7</v>
      </c>
      <c r="U318" s="4" t="str">
        <f t="shared" si="39"/>
        <v>On_time</v>
      </c>
      <c r="V318">
        <v>66</v>
      </c>
      <c r="W318" s="3">
        <f t="shared" si="40"/>
        <v>7</v>
      </c>
      <c r="X318" s="2">
        <v>45218</v>
      </c>
      <c r="Y318" s="1">
        <f>YEAR(Table2[[#This Row],[Delivery_Date]])</f>
        <v>2023</v>
      </c>
      <c r="Z318" s="2" t="str">
        <f t="shared" si="41"/>
        <v>Oct</v>
      </c>
      <c r="AA318" t="s">
        <v>994</v>
      </c>
      <c r="AB318">
        <f t="shared" si="42"/>
        <v>932.6640000000001</v>
      </c>
      <c r="AC318">
        <f>Table2[[#This Row],[Price]]*Table2[[#This Row],[Quantity]]*Table2[[#This Row],[COUPON %]]/100</f>
        <v>96.296000000000006</v>
      </c>
      <c r="AD318">
        <f t="shared" si="43"/>
        <v>866.6640000000001</v>
      </c>
      <c r="AE318" s="1">
        <f t="shared" si="44"/>
        <v>962.96</v>
      </c>
    </row>
    <row r="319" spans="1:31" x14ac:dyDescent="0.25">
      <c r="A319" t="s">
        <v>993</v>
      </c>
      <c r="B319" t="str">
        <f t="shared" si="36"/>
        <v xml:space="preserve">William Richmond </v>
      </c>
      <c r="C319" t="s">
        <v>385</v>
      </c>
      <c r="D319" t="s">
        <v>992</v>
      </c>
      <c r="E319">
        <v>57</v>
      </c>
      <c r="F319" t="str">
        <f t="shared" si="37"/>
        <v>&gt;45</v>
      </c>
      <c r="G319" t="s">
        <v>8</v>
      </c>
      <c r="H319" t="s">
        <v>59</v>
      </c>
      <c r="I319" t="s">
        <v>991</v>
      </c>
      <c r="J319" t="str">
        <f t="shared" si="38"/>
        <v>outlook.com</v>
      </c>
      <c r="K319" t="s">
        <v>990</v>
      </c>
      <c r="L319" t="s">
        <v>989</v>
      </c>
      <c r="M319" s="2">
        <v>45147</v>
      </c>
      <c r="N319" t="s">
        <v>988</v>
      </c>
      <c r="O319" t="s">
        <v>190</v>
      </c>
      <c r="P319">
        <v>158.53</v>
      </c>
      <c r="Q319">
        <v>5</v>
      </c>
      <c r="R319" t="s">
        <v>64</v>
      </c>
      <c r="S319" s="5">
        <v>20</v>
      </c>
      <c r="T319" s="3">
        <v>1</v>
      </c>
      <c r="U319" s="4" t="str">
        <f t="shared" si="39"/>
        <v>Late_Delivery</v>
      </c>
      <c r="V319">
        <v>46</v>
      </c>
      <c r="W319" s="3">
        <f t="shared" si="40"/>
        <v>4</v>
      </c>
      <c r="X319" s="2">
        <v>45151</v>
      </c>
      <c r="Y319" s="1">
        <f>YEAR(Table2[[#This Row],[Delivery_Date]])</f>
        <v>2023</v>
      </c>
      <c r="Z319" s="2" t="str">
        <f t="shared" si="41"/>
        <v>Aug</v>
      </c>
      <c r="AA319" t="s">
        <v>987</v>
      </c>
      <c r="AB319">
        <f t="shared" si="42"/>
        <v>680.12</v>
      </c>
      <c r="AC319">
        <f>Table2[[#This Row],[Price]]*Table2[[#This Row],[Quantity]]*Table2[[#This Row],[COUPON %]]/100</f>
        <v>158.53</v>
      </c>
      <c r="AD319">
        <f t="shared" si="43"/>
        <v>634.12</v>
      </c>
      <c r="AE319" s="1">
        <f t="shared" si="44"/>
        <v>792.65</v>
      </c>
    </row>
    <row r="320" spans="1:31" x14ac:dyDescent="0.25">
      <c r="A320" t="s">
        <v>310</v>
      </c>
      <c r="B320" t="str">
        <f t="shared" si="36"/>
        <v xml:space="preserve">Jared Horn </v>
      </c>
      <c r="C320" t="s">
        <v>309</v>
      </c>
      <c r="D320" t="s">
        <v>308</v>
      </c>
      <c r="E320">
        <v>43</v>
      </c>
      <c r="F320" t="str">
        <f t="shared" si="37"/>
        <v>36-45</v>
      </c>
      <c r="G320" t="s">
        <v>108</v>
      </c>
      <c r="H320" t="s">
        <v>59</v>
      </c>
      <c r="I320" t="s">
        <v>307</v>
      </c>
      <c r="J320" t="str">
        <f t="shared" si="38"/>
        <v>outlook.com</v>
      </c>
      <c r="K320" t="s">
        <v>306</v>
      </c>
      <c r="L320" t="s">
        <v>986</v>
      </c>
      <c r="M320" s="2">
        <v>45637</v>
      </c>
      <c r="N320" t="s">
        <v>985</v>
      </c>
      <c r="O320" t="s">
        <v>23</v>
      </c>
      <c r="P320">
        <v>272.51</v>
      </c>
      <c r="Q320">
        <v>2</v>
      </c>
      <c r="R320" t="s">
        <v>64</v>
      </c>
      <c r="S320" s="5">
        <v>20</v>
      </c>
      <c r="T320" s="3">
        <v>5</v>
      </c>
      <c r="U320" s="4" t="str">
        <f t="shared" si="39"/>
        <v>Before_time</v>
      </c>
      <c r="V320">
        <v>37</v>
      </c>
      <c r="W320" s="3">
        <f t="shared" si="40"/>
        <v>3</v>
      </c>
      <c r="X320" s="2">
        <v>45640</v>
      </c>
      <c r="Y320" s="1">
        <f>YEAR(Table2[[#This Row],[Delivery_Date]])</f>
        <v>2024</v>
      </c>
      <c r="Z320" s="2" t="str">
        <f t="shared" si="41"/>
        <v>Dec</v>
      </c>
      <c r="AA320" t="s">
        <v>984</v>
      </c>
      <c r="AB320">
        <f t="shared" si="42"/>
        <v>473.01600000000002</v>
      </c>
      <c r="AC320">
        <f>Table2[[#This Row],[Price]]*Table2[[#This Row],[Quantity]]*Table2[[#This Row],[COUPON %]]/100</f>
        <v>109.00399999999999</v>
      </c>
      <c r="AD320">
        <f t="shared" si="43"/>
        <v>436.01600000000002</v>
      </c>
      <c r="AE320" s="1">
        <f t="shared" si="44"/>
        <v>545.02</v>
      </c>
    </row>
    <row r="321" spans="1:31" x14ac:dyDescent="0.25">
      <c r="A321" t="s">
        <v>846</v>
      </c>
      <c r="B321" t="str">
        <f t="shared" si="36"/>
        <v xml:space="preserve">Brendan Kelly </v>
      </c>
      <c r="C321" t="s">
        <v>845</v>
      </c>
      <c r="D321" t="s">
        <v>844</v>
      </c>
      <c r="E321">
        <v>50</v>
      </c>
      <c r="F321" t="str">
        <f t="shared" si="37"/>
        <v>&gt;45</v>
      </c>
      <c r="G321" t="s">
        <v>8</v>
      </c>
      <c r="H321" t="s">
        <v>79</v>
      </c>
      <c r="I321" t="s">
        <v>843</v>
      </c>
      <c r="J321" t="str">
        <f t="shared" si="38"/>
        <v>rediffmail.com</v>
      </c>
      <c r="K321" t="s">
        <v>842</v>
      </c>
      <c r="L321" t="s">
        <v>983</v>
      </c>
      <c r="M321" s="2">
        <v>45656</v>
      </c>
      <c r="N321" t="s">
        <v>982</v>
      </c>
      <c r="O321" t="s">
        <v>466</v>
      </c>
      <c r="P321">
        <v>104.18</v>
      </c>
      <c r="Q321">
        <v>2</v>
      </c>
      <c r="R321" t="s">
        <v>93</v>
      </c>
      <c r="S321" s="5">
        <v>15</v>
      </c>
      <c r="T321" s="3">
        <v>5</v>
      </c>
      <c r="U321" s="4" t="str">
        <f t="shared" si="39"/>
        <v>Before_time</v>
      </c>
      <c r="V321">
        <v>65</v>
      </c>
      <c r="W321" s="3">
        <f t="shared" si="40"/>
        <v>1</v>
      </c>
      <c r="X321" s="2">
        <v>45657</v>
      </c>
      <c r="Y321" s="1">
        <f>YEAR(Table2[[#This Row],[Delivery_Date]])</f>
        <v>2024</v>
      </c>
      <c r="Z321" s="2" t="str">
        <f t="shared" si="41"/>
        <v>Dec</v>
      </c>
      <c r="AA321" t="s">
        <v>981</v>
      </c>
      <c r="AB321">
        <f t="shared" si="42"/>
        <v>242.10599999999999</v>
      </c>
      <c r="AC321">
        <f>Table2[[#This Row],[Price]]*Table2[[#This Row],[Quantity]]*Table2[[#This Row],[COUPON %]]/100</f>
        <v>31.254000000000001</v>
      </c>
      <c r="AD321">
        <f t="shared" si="43"/>
        <v>177.10599999999999</v>
      </c>
      <c r="AE321" s="1">
        <f t="shared" si="44"/>
        <v>208.36</v>
      </c>
    </row>
    <row r="322" spans="1:31" x14ac:dyDescent="0.25">
      <c r="A322" t="s">
        <v>297</v>
      </c>
      <c r="B322" t="str">
        <f t="shared" ref="B322:B385" si="45">CONCATENATE(C322," ", D322," ")</f>
        <v xml:space="preserve">Erin Miller </v>
      </c>
      <c r="C322" t="s">
        <v>296</v>
      </c>
      <c r="D322" t="s">
        <v>295</v>
      </c>
      <c r="E322">
        <v>46</v>
      </c>
      <c r="F322" t="str">
        <f t="shared" ref="F322:F385" si="46">IF(E322&lt;=25,"0-25",IF(E322&lt;=35,"26-35",IF(E322&lt;=45,"36-45","&gt;45")))</f>
        <v>&gt;45</v>
      </c>
      <c r="G322" t="s">
        <v>108</v>
      </c>
      <c r="H322" t="s">
        <v>79</v>
      </c>
      <c r="I322" t="s">
        <v>294</v>
      </c>
      <c r="J322" t="str">
        <f t="shared" ref="J322:J385" si="47">MID(I322,FIND("@",I322)+1,100)</f>
        <v>gmail.com</v>
      </c>
      <c r="K322" t="s">
        <v>293</v>
      </c>
      <c r="L322" t="s">
        <v>980</v>
      </c>
      <c r="M322" s="2">
        <v>45479</v>
      </c>
      <c r="N322" t="s">
        <v>979</v>
      </c>
      <c r="O322" t="s">
        <v>531</v>
      </c>
      <c r="P322">
        <v>20</v>
      </c>
      <c r="Q322">
        <v>2</v>
      </c>
      <c r="R322" t="s">
        <v>166</v>
      </c>
      <c r="S322" s="5">
        <v>10</v>
      </c>
      <c r="T322" s="3">
        <v>3</v>
      </c>
      <c r="U322" s="4" t="str">
        <f t="shared" ref="U322:U385" si="48">IF(W322&lt;T322,"Before_time",IF(W322&gt;T322,"Late_Delivery","On_time"))</f>
        <v>Late_Delivery</v>
      </c>
      <c r="V322">
        <v>38</v>
      </c>
      <c r="W322" s="3">
        <f t="shared" ref="W322:W385" si="49">DATEDIF(M322,X322,"D")</f>
        <v>6</v>
      </c>
      <c r="X322" s="2">
        <v>45485</v>
      </c>
      <c r="Y322" s="1">
        <f>YEAR(Table2[[#This Row],[Delivery_Date]])</f>
        <v>2024</v>
      </c>
      <c r="Z322" s="2" t="str">
        <f t="shared" ref="Z322:Z385" si="50">TEXT(X322,"mmm")</f>
        <v>Jul</v>
      </c>
      <c r="AA322" t="s">
        <v>978</v>
      </c>
      <c r="AB322">
        <f t="shared" ref="AB322:AB385" si="51">AD322+V322</f>
        <v>74</v>
      </c>
      <c r="AC322">
        <f>Table2[[#This Row],[Price]]*Table2[[#This Row],[Quantity]]*Table2[[#This Row],[COUPON %]]/100</f>
        <v>4</v>
      </c>
      <c r="AD322">
        <f t="shared" ref="AD322:AD385" si="52">P322*Q322*(1-S322/100)</f>
        <v>36</v>
      </c>
      <c r="AE322" s="1">
        <f t="shared" ref="AE322:AE385" si="53">P322*Q322</f>
        <v>40</v>
      </c>
    </row>
    <row r="323" spans="1:31" x14ac:dyDescent="0.25">
      <c r="A323" t="s">
        <v>613</v>
      </c>
      <c r="B323" t="str">
        <f t="shared" si="45"/>
        <v xml:space="preserve">Mary Knight </v>
      </c>
      <c r="C323" t="s">
        <v>612</v>
      </c>
      <c r="D323" t="s">
        <v>611</v>
      </c>
      <c r="E323">
        <v>28</v>
      </c>
      <c r="F323" t="str">
        <f t="shared" si="46"/>
        <v>26-35</v>
      </c>
      <c r="G323" t="s">
        <v>8</v>
      </c>
      <c r="H323" t="s">
        <v>28</v>
      </c>
      <c r="I323" t="s">
        <v>610</v>
      </c>
      <c r="J323" t="str">
        <f t="shared" si="47"/>
        <v>yahoo.com</v>
      </c>
      <c r="K323" t="s">
        <v>609</v>
      </c>
      <c r="L323" t="s">
        <v>977</v>
      </c>
      <c r="M323" s="2">
        <v>45501</v>
      </c>
      <c r="N323" t="s">
        <v>976</v>
      </c>
      <c r="O323" t="s">
        <v>13</v>
      </c>
      <c r="P323">
        <v>424.82</v>
      </c>
      <c r="Q323">
        <v>1</v>
      </c>
      <c r="R323" t="s">
        <v>34</v>
      </c>
      <c r="S323" s="5">
        <v>8</v>
      </c>
      <c r="T323" s="3">
        <v>5</v>
      </c>
      <c r="U323" s="4" t="str">
        <f t="shared" si="48"/>
        <v>Late_Delivery</v>
      </c>
      <c r="V323">
        <v>49</v>
      </c>
      <c r="W323" s="3">
        <f t="shared" si="49"/>
        <v>7</v>
      </c>
      <c r="X323" s="2">
        <v>45508</v>
      </c>
      <c r="Y323" s="1">
        <f>YEAR(Table2[[#This Row],[Delivery_Date]])</f>
        <v>2024</v>
      </c>
      <c r="Z323" s="2" t="str">
        <f t="shared" si="50"/>
        <v>Aug</v>
      </c>
      <c r="AA323" t="s">
        <v>975</v>
      </c>
      <c r="AB323">
        <f t="shared" si="51"/>
        <v>439.83440000000002</v>
      </c>
      <c r="AC323">
        <f>Table2[[#This Row],[Price]]*Table2[[#This Row],[Quantity]]*Table2[[#This Row],[COUPON %]]/100</f>
        <v>33.985599999999998</v>
      </c>
      <c r="AD323">
        <f t="shared" si="52"/>
        <v>390.83440000000002</v>
      </c>
      <c r="AE323" s="1">
        <f t="shared" si="53"/>
        <v>424.82</v>
      </c>
    </row>
    <row r="324" spans="1:31" x14ac:dyDescent="0.25">
      <c r="A324" t="s">
        <v>974</v>
      </c>
      <c r="B324" t="str">
        <f t="shared" si="45"/>
        <v xml:space="preserve">Megan Hunt </v>
      </c>
      <c r="C324" t="s">
        <v>973</v>
      </c>
      <c r="D324" t="s">
        <v>972</v>
      </c>
      <c r="E324">
        <v>63</v>
      </c>
      <c r="F324" t="str">
        <f t="shared" si="46"/>
        <v>&gt;45</v>
      </c>
      <c r="G324" t="s">
        <v>108</v>
      </c>
      <c r="H324" t="s">
        <v>79</v>
      </c>
      <c r="I324" t="s">
        <v>971</v>
      </c>
      <c r="J324" t="str">
        <f t="shared" si="47"/>
        <v>rediffmail.com</v>
      </c>
      <c r="K324" t="s">
        <v>970</v>
      </c>
      <c r="L324" t="s">
        <v>969</v>
      </c>
      <c r="M324" s="2">
        <v>45107</v>
      </c>
      <c r="N324" t="s">
        <v>968</v>
      </c>
      <c r="O324" t="s">
        <v>54</v>
      </c>
      <c r="P324">
        <v>220.27</v>
      </c>
      <c r="Q324">
        <v>5</v>
      </c>
      <c r="R324" t="s">
        <v>64</v>
      </c>
      <c r="S324" s="5">
        <v>20</v>
      </c>
      <c r="T324" s="3">
        <v>6</v>
      </c>
      <c r="U324" s="4" t="str">
        <f t="shared" si="48"/>
        <v>Before_time</v>
      </c>
      <c r="V324">
        <v>57</v>
      </c>
      <c r="W324" s="3">
        <f t="shared" si="49"/>
        <v>2</v>
      </c>
      <c r="X324" s="2">
        <v>45109</v>
      </c>
      <c r="Y324" s="1">
        <f>YEAR(Table2[[#This Row],[Delivery_Date]])</f>
        <v>2023</v>
      </c>
      <c r="Z324" s="2" t="str">
        <f t="shared" si="50"/>
        <v>Jul</v>
      </c>
      <c r="AA324" t="s">
        <v>967</v>
      </c>
      <c r="AB324">
        <f t="shared" si="51"/>
        <v>938.08000000000015</v>
      </c>
      <c r="AC324">
        <f>Table2[[#This Row],[Price]]*Table2[[#This Row],[Quantity]]*Table2[[#This Row],[COUPON %]]/100</f>
        <v>220.27000000000004</v>
      </c>
      <c r="AD324">
        <f t="shared" si="52"/>
        <v>881.08000000000015</v>
      </c>
      <c r="AE324" s="1">
        <f t="shared" si="53"/>
        <v>1101.3500000000001</v>
      </c>
    </row>
    <row r="325" spans="1:31" x14ac:dyDescent="0.25">
      <c r="A325" t="s">
        <v>630</v>
      </c>
      <c r="B325" t="str">
        <f t="shared" si="45"/>
        <v xml:space="preserve">Jason Lopez </v>
      </c>
      <c r="C325" t="s">
        <v>629</v>
      </c>
      <c r="D325" t="s">
        <v>596</v>
      </c>
      <c r="E325">
        <v>40</v>
      </c>
      <c r="F325" t="str">
        <f t="shared" si="46"/>
        <v>36-45</v>
      </c>
      <c r="G325" t="s">
        <v>8</v>
      </c>
      <c r="H325" t="s">
        <v>79</v>
      </c>
      <c r="I325" t="s">
        <v>628</v>
      </c>
      <c r="J325" t="str">
        <f t="shared" si="47"/>
        <v>outlook.com</v>
      </c>
      <c r="K325" t="s">
        <v>627</v>
      </c>
      <c r="L325" t="s">
        <v>966</v>
      </c>
      <c r="M325" s="2">
        <v>45527</v>
      </c>
      <c r="N325" t="s">
        <v>965</v>
      </c>
      <c r="O325" t="s">
        <v>494</v>
      </c>
      <c r="P325">
        <v>425.59</v>
      </c>
      <c r="Q325">
        <v>5</v>
      </c>
      <c r="R325" t="s">
        <v>1</v>
      </c>
      <c r="S325" s="5">
        <v>0</v>
      </c>
      <c r="T325" s="3">
        <v>4</v>
      </c>
      <c r="U325" s="4" t="str">
        <f t="shared" si="48"/>
        <v>On_time</v>
      </c>
      <c r="V325">
        <v>43</v>
      </c>
      <c r="W325" s="3">
        <f t="shared" si="49"/>
        <v>4</v>
      </c>
      <c r="X325" s="2">
        <v>45531</v>
      </c>
      <c r="Y325" s="1">
        <f>YEAR(Table2[[#This Row],[Delivery_Date]])</f>
        <v>2024</v>
      </c>
      <c r="Z325" s="2" t="str">
        <f t="shared" si="50"/>
        <v>Aug</v>
      </c>
      <c r="AA325" t="s">
        <v>964</v>
      </c>
      <c r="AB325">
        <f t="shared" si="51"/>
        <v>2170.9499999999998</v>
      </c>
      <c r="AC325">
        <f>Table2[[#This Row],[Price]]*Table2[[#This Row],[Quantity]]*Table2[[#This Row],[COUPON %]]/100</f>
        <v>0</v>
      </c>
      <c r="AD325">
        <f t="shared" si="52"/>
        <v>2127.9499999999998</v>
      </c>
      <c r="AE325" s="1">
        <f t="shared" si="53"/>
        <v>2127.9499999999998</v>
      </c>
    </row>
    <row r="326" spans="1:31" x14ac:dyDescent="0.25">
      <c r="A326" t="s">
        <v>537</v>
      </c>
      <c r="B326" t="str">
        <f t="shared" si="45"/>
        <v xml:space="preserve">Lauren Lane </v>
      </c>
      <c r="C326" t="s">
        <v>254</v>
      </c>
      <c r="D326" t="s">
        <v>536</v>
      </c>
      <c r="E326">
        <v>30</v>
      </c>
      <c r="F326" t="str">
        <f t="shared" si="46"/>
        <v>26-35</v>
      </c>
      <c r="G326" t="s">
        <v>108</v>
      </c>
      <c r="H326" t="s">
        <v>18</v>
      </c>
      <c r="I326" t="s">
        <v>535</v>
      </c>
      <c r="J326" t="str">
        <f t="shared" si="47"/>
        <v>gmail.com</v>
      </c>
      <c r="K326" t="s">
        <v>534</v>
      </c>
      <c r="L326" t="s">
        <v>963</v>
      </c>
      <c r="M326" s="2">
        <v>45420</v>
      </c>
      <c r="N326" t="s">
        <v>962</v>
      </c>
      <c r="O326" t="s">
        <v>131</v>
      </c>
      <c r="P326">
        <v>48.45</v>
      </c>
      <c r="Q326">
        <v>3</v>
      </c>
      <c r="R326" t="s">
        <v>166</v>
      </c>
      <c r="S326" s="5">
        <v>10</v>
      </c>
      <c r="T326" s="3">
        <v>2</v>
      </c>
      <c r="U326" s="4" t="str">
        <f t="shared" si="48"/>
        <v>On_time</v>
      </c>
      <c r="V326">
        <v>63</v>
      </c>
      <c r="W326" s="3">
        <f t="shared" si="49"/>
        <v>2</v>
      </c>
      <c r="X326" s="2">
        <v>45422</v>
      </c>
      <c r="Y326" s="1">
        <f>YEAR(Table2[[#This Row],[Delivery_Date]])</f>
        <v>2024</v>
      </c>
      <c r="Z326" s="2" t="str">
        <f t="shared" si="50"/>
        <v>May</v>
      </c>
      <c r="AA326" t="s">
        <v>961</v>
      </c>
      <c r="AB326">
        <f t="shared" si="51"/>
        <v>193.81500000000003</v>
      </c>
      <c r="AC326">
        <f>Table2[[#This Row],[Price]]*Table2[[#This Row],[Quantity]]*Table2[[#This Row],[COUPON %]]/100</f>
        <v>14.535000000000002</v>
      </c>
      <c r="AD326">
        <f t="shared" si="52"/>
        <v>130.81500000000003</v>
      </c>
      <c r="AE326" s="1">
        <f t="shared" si="53"/>
        <v>145.35000000000002</v>
      </c>
    </row>
    <row r="327" spans="1:31" x14ac:dyDescent="0.25">
      <c r="A327" t="s">
        <v>138</v>
      </c>
      <c r="B327" t="str">
        <f t="shared" si="45"/>
        <v xml:space="preserve">Hannah Gutierrez </v>
      </c>
      <c r="C327" t="s">
        <v>137</v>
      </c>
      <c r="D327" t="s">
        <v>136</v>
      </c>
      <c r="E327">
        <v>55</v>
      </c>
      <c r="F327" t="str">
        <f t="shared" si="46"/>
        <v>&gt;45</v>
      </c>
      <c r="G327" t="s">
        <v>29</v>
      </c>
      <c r="H327" t="s">
        <v>40</v>
      </c>
      <c r="I327" t="s">
        <v>135</v>
      </c>
      <c r="J327" t="str">
        <f t="shared" si="47"/>
        <v>yahoo.com</v>
      </c>
      <c r="K327" t="s">
        <v>134</v>
      </c>
      <c r="L327" t="s">
        <v>960</v>
      </c>
      <c r="M327" s="2">
        <v>45186</v>
      </c>
      <c r="N327" t="s">
        <v>959</v>
      </c>
      <c r="O327" t="s">
        <v>466</v>
      </c>
      <c r="P327">
        <v>104.18</v>
      </c>
      <c r="Q327">
        <v>2</v>
      </c>
      <c r="R327" t="s">
        <v>34</v>
      </c>
      <c r="S327" s="5">
        <v>8</v>
      </c>
      <c r="T327" s="3">
        <v>4</v>
      </c>
      <c r="U327" s="4" t="str">
        <f t="shared" si="48"/>
        <v>On_time</v>
      </c>
      <c r="V327">
        <v>43</v>
      </c>
      <c r="W327" s="3">
        <f t="shared" si="49"/>
        <v>4</v>
      </c>
      <c r="X327" s="2">
        <v>45190</v>
      </c>
      <c r="Y327" s="1">
        <f>YEAR(Table2[[#This Row],[Delivery_Date]])</f>
        <v>2023</v>
      </c>
      <c r="Z327" s="2" t="str">
        <f t="shared" si="50"/>
        <v>Sep</v>
      </c>
      <c r="AA327" t="s">
        <v>958</v>
      </c>
      <c r="AB327">
        <f t="shared" si="51"/>
        <v>234.69120000000001</v>
      </c>
      <c r="AC327">
        <f>Table2[[#This Row],[Price]]*Table2[[#This Row],[Quantity]]*Table2[[#This Row],[COUPON %]]/100</f>
        <v>16.668800000000001</v>
      </c>
      <c r="AD327">
        <f t="shared" si="52"/>
        <v>191.69120000000001</v>
      </c>
      <c r="AE327" s="1">
        <f t="shared" si="53"/>
        <v>208.36</v>
      </c>
    </row>
    <row r="328" spans="1:31" x14ac:dyDescent="0.25">
      <c r="A328" t="s">
        <v>421</v>
      </c>
      <c r="B328" t="str">
        <f t="shared" si="45"/>
        <v xml:space="preserve">Angela Casey </v>
      </c>
      <c r="C328" t="s">
        <v>10</v>
      </c>
      <c r="D328" t="s">
        <v>420</v>
      </c>
      <c r="E328">
        <v>40</v>
      </c>
      <c r="F328" t="str">
        <f t="shared" si="46"/>
        <v>36-45</v>
      </c>
      <c r="G328" t="s">
        <v>108</v>
      </c>
      <c r="H328" t="s">
        <v>28</v>
      </c>
      <c r="I328" t="s">
        <v>419</v>
      </c>
      <c r="J328" t="str">
        <f t="shared" si="47"/>
        <v>gmail.com</v>
      </c>
      <c r="K328" t="s">
        <v>418</v>
      </c>
      <c r="L328" t="s">
        <v>957</v>
      </c>
      <c r="M328" s="2">
        <v>45195</v>
      </c>
      <c r="N328" t="s">
        <v>956</v>
      </c>
      <c r="O328" t="s">
        <v>281</v>
      </c>
      <c r="P328">
        <v>445.81</v>
      </c>
      <c r="Q328">
        <v>1</v>
      </c>
      <c r="R328" t="s">
        <v>1</v>
      </c>
      <c r="S328" s="5">
        <v>0</v>
      </c>
      <c r="T328" s="3">
        <v>1</v>
      </c>
      <c r="U328" s="4" t="str">
        <f t="shared" si="48"/>
        <v>Late_Delivery</v>
      </c>
      <c r="V328">
        <v>51</v>
      </c>
      <c r="W328" s="3">
        <f t="shared" si="49"/>
        <v>3</v>
      </c>
      <c r="X328" s="2">
        <v>45198</v>
      </c>
      <c r="Y328" s="1">
        <f>YEAR(Table2[[#This Row],[Delivery_Date]])</f>
        <v>2023</v>
      </c>
      <c r="Z328" s="2" t="str">
        <f t="shared" si="50"/>
        <v>Sep</v>
      </c>
      <c r="AA328" t="s">
        <v>955</v>
      </c>
      <c r="AB328">
        <f t="shared" si="51"/>
        <v>496.81</v>
      </c>
      <c r="AC328">
        <f>Table2[[#This Row],[Price]]*Table2[[#This Row],[Quantity]]*Table2[[#This Row],[COUPON %]]/100</f>
        <v>0</v>
      </c>
      <c r="AD328">
        <f t="shared" si="52"/>
        <v>445.81</v>
      </c>
      <c r="AE328" s="1">
        <f t="shared" si="53"/>
        <v>445.81</v>
      </c>
    </row>
    <row r="329" spans="1:31" x14ac:dyDescent="0.25">
      <c r="A329" t="s">
        <v>709</v>
      </c>
      <c r="B329" t="str">
        <f t="shared" si="45"/>
        <v xml:space="preserve">Sarah Benson </v>
      </c>
      <c r="C329" t="s">
        <v>556</v>
      </c>
      <c r="D329" t="s">
        <v>708</v>
      </c>
      <c r="E329">
        <v>40</v>
      </c>
      <c r="F329" t="str">
        <f t="shared" si="46"/>
        <v>36-45</v>
      </c>
      <c r="G329" t="s">
        <v>8</v>
      </c>
      <c r="H329" t="s">
        <v>18</v>
      </c>
      <c r="I329" t="s">
        <v>707</v>
      </c>
      <c r="J329" t="str">
        <f t="shared" si="47"/>
        <v>outlook.com</v>
      </c>
      <c r="K329" t="s">
        <v>706</v>
      </c>
      <c r="L329" t="s">
        <v>954</v>
      </c>
      <c r="M329" s="2">
        <v>45573</v>
      </c>
      <c r="N329" t="s">
        <v>953</v>
      </c>
      <c r="O329" t="s">
        <v>224</v>
      </c>
      <c r="P329">
        <v>132.97</v>
      </c>
      <c r="Q329">
        <v>2</v>
      </c>
      <c r="R329" t="s">
        <v>166</v>
      </c>
      <c r="S329" s="5">
        <v>10</v>
      </c>
      <c r="T329" s="3">
        <v>6</v>
      </c>
      <c r="U329" s="4" t="str">
        <f t="shared" si="48"/>
        <v>Before_time</v>
      </c>
      <c r="V329">
        <v>69</v>
      </c>
      <c r="W329" s="3">
        <f t="shared" si="49"/>
        <v>5</v>
      </c>
      <c r="X329" s="2">
        <v>45578</v>
      </c>
      <c r="Y329" s="1">
        <f>YEAR(Table2[[#This Row],[Delivery_Date]])</f>
        <v>2024</v>
      </c>
      <c r="Z329" s="2" t="str">
        <f t="shared" si="50"/>
        <v>Oct</v>
      </c>
      <c r="AA329" t="s">
        <v>952</v>
      </c>
      <c r="AB329">
        <f t="shared" si="51"/>
        <v>308.346</v>
      </c>
      <c r="AC329">
        <f>Table2[[#This Row],[Price]]*Table2[[#This Row],[Quantity]]*Table2[[#This Row],[COUPON %]]/100</f>
        <v>26.594000000000001</v>
      </c>
      <c r="AD329">
        <f t="shared" si="52"/>
        <v>239.346</v>
      </c>
      <c r="AE329" s="1">
        <f t="shared" si="53"/>
        <v>265.94</v>
      </c>
    </row>
    <row r="330" spans="1:31" x14ac:dyDescent="0.25">
      <c r="A330" t="s">
        <v>138</v>
      </c>
      <c r="B330" t="str">
        <f t="shared" si="45"/>
        <v xml:space="preserve">Hannah Gutierrez </v>
      </c>
      <c r="C330" t="s">
        <v>137</v>
      </c>
      <c r="D330" t="s">
        <v>136</v>
      </c>
      <c r="E330">
        <v>55</v>
      </c>
      <c r="F330" t="str">
        <f t="shared" si="46"/>
        <v>&gt;45</v>
      </c>
      <c r="G330" t="s">
        <v>29</v>
      </c>
      <c r="H330" t="s">
        <v>40</v>
      </c>
      <c r="I330" t="s">
        <v>135</v>
      </c>
      <c r="J330" t="str">
        <f t="shared" si="47"/>
        <v>yahoo.com</v>
      </c>
      <c r="K330" t="s">
        <v>134</v>
      </c>
      <c r="L330" t="s">
        <v>951</v>
      </c>
      <c r="M330" s="2">
        <v>45384</v>
      </c>
      <c r="N330" t="s">
        <v>950</v>
      </c>
      <c r="O330" t="s">
        <v>667</v>
      </c>
      <c r="P330">
        <v>421.7</v>
      </c>
      <c r="Q330">
        <v>4</v>
      </c>
      <c r="R330" t="s">
        <v>34</v>
      </c>
      <c r="S330" s="5">
        <v>8</v>
      </c>
      <c r="T330" s="3">
        <v>5</v>
      </c>
      <c r="U330" s="4" t="str">
        <f t="shared" si="48"/>
        <v>On_time</v>
      </c>
      <c r="V330">
        <v>55</v>
      </c>
      <c r="W330" s="3">
        <f t="shared" si="49"/>
        <v>5</v>
      </c>
      <c r="X330" s="2">
        <v>45389</v>
      </c>
      <c r="Y330" s="1">
        <f>YEAR(Table2[[#This Row],[Delivery_Date]])</f>
        <v>2024</v>
      </c>
      <c r="Z330" s="2" t="str">
        <f t="shared" si="50"/>
        <v>Apr</v>
      </c>
      <c r="AA330" t="s">
        <v>949</v>
      </c>
      <c r="AB330">
        <f t="shared" si="51"/>
        <v>1606.856</v>
      </c>
      <c r="AC330">
        <f>Table2[[#This Row],[Price]]*Table2[[#This Row],[Quantity]]*Table2[[#This Row],[COUPON %]]/100</f>
        <v>134.94399999999999</v>
      </c>
      <c r="AD330">
        <f t="shared" si="52"/>
        <v>1551.856</v>
      </c>
      <c r="AE330" s="1">
        <f t="shared" si="53"/>
        <v>1686.8</v>
      </c>
    </row>
    <row r="331" spans="1:31" x14ac:dyDescent="0.25">
      <c r="A331" t="s">
        <v>138</v>
      </c>
      <c r="B331" t="str">
        <f t="shared" si="45"/>
        <v xml:space="preserve">Hannah Gutierrez </v>
      </c>
      <c r="C331" t="s">
        <v>137</v>
      </c>
      <c r="D331" t="s">
        <v>136</v>
      </c>
      <c r="E331">
        <v>55</v>
      </c>
      <c r="F331" t="str">
        <f t="shared" si="46"/>
        <v>&gt;45</v>
      </c>
      <c r="G331" t="s">
        <v>29</v>
      </c>
      <c r="H331" t="s">
        <v>40</v>
      </c>
      <c r="I331" t="s">
        <v>135</v>
      </c>
      <c r="J331" t="str">
        <f t="shared" si="47"/>
        <v>yahoo.com</v>
      </c>
      <c r="K331" t="s">
        <v>134</v>
      </c>
      <c r="L331" t="s">
        <v>948</v>
      </c>
      <c r="M331" s="2">
        <v>45388</v>
      </c>
      <c r="N331" t="s">
        <v>947</v>
      </c>
      <c r="O331" t="s">
        <v>199</v>
      </c>
      <c r="P331">
        <v>477.52</v>
      </c>
      <c r="Q331">
        <v>1</v>
      </c>
      <c r="R331" t="s">
        <v>1</v>
      </c>
      <c r="S331" s="5">
        <v>0</v>
      </c>
      <c r="T331" s="3">
        <v>7</v>
      </c>
      <c r="U331" s="4" t="str">
        <f t="shared" si="48"/>
        <v>Before_time</v>
      </c>
      <c r="V331">
        <v>48</v>
      </c>
      <c r="W331" s="3">
        <f t="shared" si="49"/>
        <v>5</v>
      </c>
      <c r="X331" s="2">
        <v>45393</v>
      </c>
      <c r="Y331" s="1">
        <f>YEAR(Table2[[#This Row],[Delivery_Date]])</f>
        <v>2024</v>
      </c>
      <c r="Z331" s="2" t="str">
        <f t="shared" si="50"/>
        <v>Apr</v>
      </c>
      <c r="AA331" t="s">
        <v>946</v>
      </c>
      <c r="AB331">
        <f t="shared" si="51"/>
        <v>525.52</v>
      </c>
      <c r="AC331">
        <f>Table2[[#This Row],[Price]]*Table2[[#This Row],[Quantity]]*Table2[[#This Row],[COUPON %]]/100</f>
        <v>0</v>
      </c>
      <c r="AD331">
        <f t="shared" si="52"/>
        <v>477.52</v>
      </c>
      <c r="AE331" s="1">
        <f t="shared" si="53"/>
        <v>477.52</v>
      </c>
    </row>
    <row r="332" spans="1:31" x14ac:dyDescent="0.25">
      <c r="A332" t="s">
        <v>945</v>
      </c>
      <c r="B332" t="str">
        <f t="shared" si="45"/>
        <v xml:space="preserve">Rebecca Figueroa </v>
      </c>
      <c r="C332" t="s">
        <v>944</v>
      </c>
      <c r="D332" t="s">
        <v>943</v>
      </c>
      <c r="E332">
        <v>63</v>
      </c>
      <c r="F332" t="str">
        <f t="shared" si="46"/>
        <v>&gt;45</v>
      </c>
      <c r="G332" t="s">
        <v>108</v>
      </c>
      <c r="H332" t="s">
        <v>59</v>
      </c>
      <c r="I332" t="s">
        <v>942</v>
      </c>
      <c r="J332" t="str">
        <f t="shared" si="47"/>
        <v>outlook.com</v>
      </c>
      <c r="K332" t="s">
        <v>941</v>
      </c>
      <c r="L332" t="s">
        <v>940</v>
      </c>
      <c r="M332" s="2">
        <v>45623</v>
      </c>
      <c r="N332" t="s">
        <v>939</v>
      </c>
      <c r="O332" t="s">
        <v>531</v>
      </c>
      <c r="P332">
        <v>20</v>
      </c>
      <c r="Q332">
        <v>2</v>
      </c>
      <c r="R332" t="s">
        <v>1</v>
      </c>
      <c r="S332" s="5">
        <v>0</v>
      </c>
      <c r="T332" s="3">
        <v>5</v>
      </c>
      <c r="U332" s="4" t="str">
        <f t="shared" si="48"/>
        <v>Late_Delivery</v>
      </c>
      <c r="V332">
        <v>55</v>
      </c>
      <c r="W332" s="3">
        <f t="shared" si="49"/>
        <v>6</v>
      </c>
      <c r="X332" s="2">
        <v>45629</v>
      </c>
      <c r="Y332" s="1">
        <f>YEAR(Table2[[#This Row],[Delivery_Date]])</f>
        <v>2024</v>
      </c>
      <c r="Z332" s="2" t="str">
        <f t="shared" si="50"/>
        <v>Dec</v>
      </c>
      <c r="AA332" t="s">
        <v>938</v>
      </c>
      <c r="AB332">
        <f t="shared" si="51"/>
        <v>95</v>
      </c>
      <c r="AC332">
        <f>Table2[[#This Row],[Price]]*Table2[[#This Row],[Quantity]]*Table2[[#This Row],[COUPON %]]/100</f>
        <v>0</v>
      </c>
      <c r="AD332">
        <f t="shared" si="52"/>
        <v>40</v>
      </c>
      <c r="AE332" s="1">
        <f t="shared" si="53"/>
        <v>40</v>
      </c>
    </row>
    <row r="333" spans="1:31" x14ac:dyDescent="0.25">
      <c r="A333" t="s">
        <v>937</v>
      </c>
      <c r="B333" t="str">
        <f t="shared" si="45"/>
        <v xml:space="preserve">Ashley Rose </v>
      </c>
      <c r="C333" t="s">
        <v>110</v>
      </c>
      <c r="D333" t="s">
        <v>936</v>
      </c>
      <c r="E333">
        <v>60</v>
      </c>
      <c r="F333" t="str">
        <f t="shared" si="46"/>
        <v>&gt;45</v>
      </c>
      <c r="G333" t="s">
        <v>8</v>
      </c>
      <c r="H333" t="s">
        <v>107</v>
      </c>
      <c r="I333" t="s">
        <v>935</v>
      </c>
      <c r="J333" t="str">
        <f t="shared" si="47"/>
        <v>gmail.com</v>
      </c>
      <c r="K333" t="s">
        <v>934</v>
      </c>
      <c r="L333" t="s">
        <v>933</v>
      </c>
      <c r="M333" s="2">
        <v>45498</v>
      </c>
      <c r="N333" t="s">
        <v>932</v>
      </c>
      <c r="O333" t="s">
        <v>299</v>
      </c>
      <c r="P333">
        <v>235.63</v>
      </c>
      <c r="Q333">
        <v>1</v>
      </c>
      <c r="R333" t="s">
        <v>166</v>
      </c>
      <c r="S333" s="5">
        <v>10</v>
      </c>
      <c r="T333" s="3">
        <v>1</v>
      </c>
      <c r="U333" s="4" t="str">
        <f t="shared" si="48"/>
        <v>Late_Delivery</v>
      </c>
      <c r="V333">
        <v>38</v>
      </c>
      <c r="W333" s="3">
        <f t="shared" si="49"/>
        <v>6</v>
      </c>
      <c r="X333" s="2">
        <v>45504</v>
      </c>
      <c r="Y333" s="1">
        <f>YEAR(Table2[[#This Row],[Delivery_Date]])</f>
        <v>2024</v>
      </c>
      <c r="Z333" s="2" t="str">
        <f t="shared" si="50"/>
        <v>Jul</v>
      </c>
      <c r="AA333" t="s">
        <v>931</v>
      </c>
      <c r="AB333">
        <f t="shared" si="51"/>
        <v>250.06700000000001</v>
      </c>
      <c r="AC333">
        <f>Table2[[#This Row],[Price]]*Table2[[#This Row],[Quantity]]*Table2[[#This Row],[COUPON %]]/100</f>
        <v>23.563000000000002</v>
      </c>
      <c r="AD333">
        <f t="shared" si="52"/>
        <v>212.06700000000001</v>
      </c>
      <c r="AE333" s="1">
        <f t="shared" si="53"/>
        <v>235.63</v>
      </c>
    </row>
    <row r="334" spans="1:31" x14ac:dyDescent="0.25">
      <c r="A334" t="s">
        <v>846</v>
      </c>
      <c r="B334" t="str">
        <f t="shared" si="45"/>
        <v xml:space="preserve">Brendan Kelly </v>
      </c>
      <c r="C334" t="s">
        <v>845</v>
      </c>
      <c r="D334" t="s">
        <v>844</v>
      </c>
      <c r="E334">
        <v>50</v>
      </c>
      <c r="F334" t="str">
        <f t="shared" si="46"/>
        <v>&gt;45</v>
      </c>
      <c r="G334" t="s">
        <v>8</v>
      </c>
      <c r="H334" t="s">
        <v>79</v>
      </c>
      <c r="I334" t="s">
        <v>843</v>
      </c>
      <c r="J334" t="str">
        <f t="shared" si="47"/>
        <v>rediffmail.com</v>
      </c>
      <c r="K334" t="s">
        <v>842</v>
      </c>
      <c r="L334" t="s">
        <v>930</v>
      </c>
      <c r="M334" s="2">
        <v>45289</v>
      </c>
      <c r="N334" t="s">
        <v>929</v>
      </c>
      <c r="O334" t="s">
        <v>94</v>
      </c>
      <c r="P334">
        <v>33.49</v>
      </c>
      <c r="Q334">
        <v>4</v>
      </c>
      <c r="R334" t="s">
        <v>93</v>
      </c>
      <c r="S334" s="5">
        <v>15</v>
      </c>
      <c r="T334" s="3">
        <v>4</v>
      </c>
      <c r="U334" s="4" t="str">
        <f t="shared" si="48"/>
        <v>Late_Delivery</v>
      </c>
      <c r="V334">
        <v>67</v>
      </c>
      <c r="W334" s="3">
        <f t="shared" si="49"/>
        <v>5</v>
      </c>
      <c r="X334" s="2">
        <v>45294</v>
      </c>
      <c r="Y334" s="1">
        <f>YEAR(Table2[[#This Row],[Delivery_Date]])</f>
        <v>2024</v>
      </c>
      <c r="Z334" s="2" t="str">
        <f t="shared" si="50"/>
        <v>Jan</v>
      </c>
      <c r="AA334" t="s">
        <v>928</v>
      </c>
      <c r="AB334">
        <f t="shared" si="51"/>
        <v>180.86599999999999</v>
      </c>
      <c r="AC334">
        <f>Table2[[#This Row],[Price]]*Table2[[#This Row],[Quantity]]*Table2[[#This Row],[COUPON %]]/100</f>
        <v>20.094000000000001</v>
      </c>
      <c r="AD334">
        <f t="shared" si="52"/>
        <v>113.866</v>
      </c>
      <c r="AE334" s="1">
        <f t="shared" si="53"/>
        <v>133.96</v>
      </c>
    </row>
    <row r="335" spans="1:31" x14ac:dyDescent="0.25">
      <c r="A335" t="s">
        <v>745</v>
      </c>
      <c r="B335" t="str">
        <f t="shared" si="45"/>
        <v xml:space="preserve">Julie Meyer </v>
      </c>
      <c r="C335" t="s">
        <v>744</v>
      </c>
      <c r="D335" t="s">
        <v>743</v>
      </c>
      <c r="E335">
        <v>23</v>
      </c>
      <c r="F335" t="str">
        <f t="shared" si="46"/>
        <v>0-25</v>
      </c>
      <c r="G335" t="s">
        <v>108</v>
      </c>
      <c r="H335" t="s">
        <v>107</v>
      </c>
      <c r="I335" t="s">
        <v>742</v>
      </c>
      <c r="J335" t="str">
        <f t="shared" si="47"/>
        <v>yahoo.com</v>
      </c>
      <c r="K335" t="s">
        <v>741</v>
      </c>
      <c r="L335" t="s">
        <v>927</v>
      </c>
      <c r="M335" s="2">
        <v>45271</v>
      </c>
      <c r="N335" t="s">
        <v>926</v>
      </c>
      <c r="O335" t="s">
        <v>519</v>
      </c>
      <c r="P335">
        <v>136.30000000000001</v>
      </c>
      <c r="Q335">
        <v>4</v>
      </c>
      <c r="R335" t="s">
        <v>166</v>
      </c>
      <c r="S335" s="5">
        <v>10</v>
      </c>
      <c r="T335" s="3">
        <v>1</v>
      </c>
      <c r="U335" s="4" t="str">
        <f t="shared" si="48"/>
        <v>Late_Delivery</v>
      </c>
      <c r="V335">
        <v>35</v>
      </c>
      <c r="W335" s="3">
        <f t="shared" si="49"/>
        <v>4</v>
      </c>
      <c r="X335" s="2">
        <v>45275</v>
      </c>
      <c r="Y335" s="1">
        <f>YEAR(Table2[[#This Row],[Delivery_Date]])</f>
        <v>2023</v>
      </c>
      <c r="Z335" s="2" t="str">
        <f t="shared" si="50"/>
        <v>Dec</v>
      </c>
      <c r="AA335" t="s">
        <v>925</v>
      </c>
      <c r="AB335">
        <f t="shared" si="51"/>
        <v>525.68000000000006</v>
      </c>
      <c r="AC335">
        <f>Table2[[#This Row],[Price]]*Table2[[#This Row],[Quantity]]*Table2[[#This Row],[COUPON %]]/100</f>
        <v>54.52</v>
      </c>
      <c r="AD335">
        <f t="shared" si="52"/>
        <v>490.68000000000006</v>
      </c>
      <c r="AE335" s="1">
        <f t="shared" si="53"/>
        <v>545.20000000000005</v>
      </c>
    </row>
    <row r="336" spans="1:31" x14ac:dyDescent="0.25">
      <c r="A336" t="s">
        <v>924</v>
      </c>
      <c r="B336" t="str">
        <f t="shared" si="45"/>
        <v xml:space="preserve">Natasha Michael </v>
      </c>
      <c r="C336" t="s">
        <v>923</v>
      </c>
      <c r="D336" t="s">
        <v>922</v>
      </c>
      <c r="E336">
        <v>49</v>
      </c>
      <c r="F336" t="str">
        <f t="shared" si="46"/>
        <v>&gt;45</v>
      </c>
      <c r="G336" t="s">
        <v>108</v>
      </c>
      <c r="H336" t="s">
        <v>7</v>
      </c>
      <c r="I336" t="s">
        <v>921</v>
      </c>
      <c r="J336" t="str">
        <f t="shared" si="47"/>
        <v>gmail.com</v>
      </c>
      <c r="K336" t="s">
        <v>920</v>
      </c>
      <c r="L336" t="s">
        <v>919</v>
      </c>
      <c r="M336" s="2">
        <v>45122</v>
      </c>
      <c r="N336" t="s">
        <v>918</v>
      </c>
      <c r="O336" t="s">
        <v>615</v>
      </c>
      <c r="P336">
        <v>282.63</v>
      </c>
      <c r="Q336">
        <v>4</v>
      </c>
      <c r="R336" t="s">
        <v>166</v>
      </c>
      <c r="S336" s="5">
        <v>10</v>
      </c>
      <c r="T336" s="3">
        <v>1</v>
      </c>
      <c r="U336" s="4" t="str">
        <f t="shared" si="48"/>
        <v>Late_Delivery</v>
      </c>
      <c r="V336">
        <v>48</v>
      </c>
      <c r="W336" s="3">
        <f t="shared" si="49"/>
        <v>3</v>
      </c>
      <c r="X336" s="2">
        <v>45125</v>
      </c>
      <c r="Y336" s="1">
        <f>YEAR(Table2[[#This Row],[Delivery_Date]])</f>
        <v>2023</v>
      </c>
      <c r="Z336" s="2" t="str">
        <f t="shared" si="50"/>
        <v>Jul</v>
      </c>
      <c r="AA336" t="s">
        <v>917</v>
      </c>
      <c r="AB336">
        <f t="shared" si="51"/>
        <v>1065.4679999999998</v>
      </c>
      <c r="AC336">
        <f>Table2[[#This Row],[Price]]*Table2[[#This Row],[Quantity]]*Table2[[#This Row],[COUPON %]]/100</f>
        <v>113.05200000000001</v>
      </c>
      <c r="AD336">
        <f t="shared" si="52"/>
        <v>1017.468</v>
      </c>
      <c r="AE336" s="1">
        <f t="shared" si="53"/>
        <v>1130.52</v>
      </c>
    </row>
    <row r="337" spans="1:31" x14ac:dyDescent="0.25">
      <c r="A337" t="s">
        <v>916</v>
      </c>
      <c r="B337" t="str">
        <f t="shared" si="45"/>
        <v xml:space="preserve">Leslie Montgomery </v>
      </c>
      <c r="C337" t="s">
        <v>915</v>
      </c>
      <c r="D337" t="s">
        <v>914</v>
      </c>
      <c r="E337">
        <v>26</v>
      </c>
      <c r="F337" t="str">
        <f t="shared" si="46"/>
        <v>26-35</v>
      </c>
      <c r="G337" t="s">
        <v>29</v>
      </c>
      <c r="H337" t="s">
        <v>40</v>
      </c>
      <c r="I337" t="s">
        <v>913</v>
      </c>
      <c r="J337" t="str">
        <f t="shared" si="47"/>
        <v>gmail.com</v>
      </c>
      <c r="K337" t="s">
        <v>912</v>
      </c>
      <c r="L337" t="s">
        <v>911</v>
      </c>
      <c r="M337" s="2">
        <v>45627</v>
      </c>
      <c r="N337" t="s">
        <v>910</v>
      </c>
      <c r="O337" t="s">
        <v>23</v>
      </c>
      <c r="P337">
        <v>272.51</v>
      </c>
      <c r="Q337">
        <v>5</v>
      </c>
      <c r="R337" t="s">
        <v>166</v>
      </c>
      <c r="S337" s="5">
        <v>10</v>
      </c>
      <c r="T337" s="3">
        <v>4</v>
      </c>
      <c r="U337" s="4" t="str">
        <f t="shared" si="48"/>
        <v>Before_time</v>
      </c>
      <c r="V337">
        <v>45</v>
      </c>
      <c r="W337" s="3">
        <f t="shared" si="49"/>
        <v>3</v>
      </c>
      <c r="X337" s="2">
        <v>45630</v>
      </c>
      <c r="Y337" s="1">
        <f>YEAR(Table2[[#This Row],[Delivery_Date]])</f>
        <v>2024</v>
      </c>
      <c r="Z337" s="2" t="str">
        <f t="shared" si="50"/>
        <v>Dec</v>
      </c>
      <c r="AA337" t="s">
        <v>909</v>
      </c>
      <c r="AB337">
        <f t="shared" si="51"/>
        <v>1271.2950000000001</v>
      </c>
      <c r="AC337">
        <f>Table2[[#This Row],[Price]]*Table2[[#This Row],[Quantity]]*Table2[[#This Row],[COUPON %]]/100</f>
        <v>136.255</v>
      </c>
      <c r="AD337">
        <f t="shared" si="52"/>
        <v>1226.2950000000001</v>
      </c>
      <c r="AE337" s="1">
        <f t="shared" si="53"/>
        <v>1362.55</v>
      </c>
    </row>
    <row r="338" spans="1:31" x14ac:dyDescent="0.25">
      <c r="A338" t="s">
        <v>908</v>
      </c>
      <c r="B338" t="str">
        <f t="shared" si="45"/>
        <v xml:space="preserve">James Brown </v>
      </c>
      <c r="C338" t="s">
        <v>907</v>
      </c>
      <c r="D338" t="s">
        <v>906</v>
      </c>
      <c r="E338">
        <v>60</v>
      </c>
      <c r="F338" t="str">
        <f t="shared" si="46"/>
        <v>&gt;45</v>
      </c>
      <c r="G338" t="s">
        <v>108</v>
      </c>
      <c r="H338" t="s">
        <v>59</v>
      </c>
      <c r="I338" t="s">
        <v>905</v>
      </c>
      <c r="J338" t="str">
        <f t="shared" si="47"/>
        <v>yahoo.com</v>
      </c>
      <c r="K338" t="s">
        <v>904</v>
      </c>
      <c r="L338" t="s">
        <v>903</v>
      </c>
      <c r="M338" s="2">
        <v>45053</v>
      </c>
      <c r="N338" t="s">
        <v>902</v>
      </c>
      <c r="O338" t="s">
        <v>729</v>
      </c>
      <c r="P338">
        <v>275.44</v>
      </c>
      <c r="Q338">
        <v>2</v>
      </c>
      <c r="R338" t="s">
        <v>93</v>
      </c>
      <c r="S338" s="5">
        <v>15</v>
      </c>
      <c r="T338" s="3">
        <v>4</v>
      </c>
      <c r="U338" s="4" t="str">
        <f t="shared" si="48"/>
        <v>Late_Delivery</v>
      </c>
      <c r="V338">
        <v>54</v>
      </c>
      <c r="W338" s="3">
        <f t="shared" si="49"/>
        <v>6</v>
      </c>
      <c r="X338" s="2">
        <v>45059</v>
      </c>
      <c r="Y338" s="1">
        <f>YEAR(Table2[[#This Row],[Delivery_Date]])</f>
        <v>2023</v>
      </c>
      <c r="Z338" s="2" t="str">
        <f t="shared" si="50"/>
        <v>May</v>
      </c>
      <c r="AA338" t="s">
        <v>901</v>
      </c>
      <c r="AB338">
        <f t="shared" si="51"/>
        <v>522.24800000000005</v>
      </c>
      <c r="AC338">
        <f>Table2[[#This Row],[Price]]*Table2[[#This Row],[Quantity]]*Table2[[#This Row],[COUPON %]]/100</f>
        <v>82.632000000000005</v>
      </c>
      <c r="AD338">
        <f t="shared" si="52"/>
        <v>468.24799999999999</v>
      </c>
      <c r="AE338" s="1">
        <f t="shared" si="53"/>
        <v>550.88</v>
      </c>
    </row>
    <row r="339" spans="1:31" x14ac:dyDescent="0.25">
      <c r="A339" t="s">
        <v>353</v>
      </c>
      <c r="B339" t="str">
        <f t="shared" si="45"/>
        <v xml:space="preserve">Timothy Hicks </v>
      </c>
      <c r="C339" t="s">
        <v>352</v>
      </c>
      <c r="D339" t="s">
        <v>41</v>
      </c>
      <c r="E339">
        <v>31</v>
      </c>
      <c r="F339" t="str">
        <f t="shared" si="46"/>
        <v>26-35</v>
      </c>
      <c r="G339" t="s">
        <v>8</v>
      </c>
      <c r="H339" t="s">
        <v>59</v>
      </c>
      <c r="I339" t="s">
        <v>351</v>
      </c>
      <c r="J339" t="str">
        <f t="shared" si="47"/>
        <v>gmail.com</v>
      </c>
      <c r="K339" t="s">
        <v>350</v>
      </c>
      <c r="L339" t="s">
        <v>900</v>
      </c>
      <c r="M339" s="2">
        <v>45148</v>
      </c>
      <c r="N339" t="s">
        <v>899</v>
      </c>
      <c r="O339" t="s">
        <v>113</v>
      </c>
      <c r="P339">
        <v>441.03</v>
      </c>
      <c r="Q339">
        <v>2</v>
      </c>
      <c r="R339" t="s">
        <v>34</v>
      </c>
      <c r="S339" s="5">
        <v>8</v>
      </c>
      <c r="T339" s="3">
        <v>3</v>
      </c>
      <c r="U339" s="4" t="str">
        <f t="shared" si="48"/>
        <v>On_time</v>
      </c>
      <c r="V339">
        <v>62</v>
      </c>
      <c r="W339" s="3">
        <f t="shared" si="49"/>
        <v>3</v>
      </c>
      <c r="X339" s="2">
        <v>45151</v>
      </c>
      <c r="Y339" s="1">
        <f>YEAR(Table2[[#This Row],[Delivery_Date]])</f>
        <v>2023</v>
      </c>
      <c r="Z339" s="2" t="str">
        <f t="shared" si="50"/>
        <v>Aug</v>
      </c>
      <c r="AA339" t="s">
        <v>898</v>
      </c>
      <c r="AB339">
        <f t="shared" si="51"/>
        <v>873.49519999999995</v>
      </c>
      <c r="AC339">
        <f>Table2[[#This Row],[Price]]*Table2[[#This Row],[Quantity]]*Table2[[#This Row],[COUPON %]]/100</f>
        <v>70.564799999999991</v>
      </c>
      <c r="AD339">
        <f t="shared" si="52"/>
        <v>811.49519999999995</v>
      </c>
      <c r="AE339" s="1">
        <f t="shared" si="53"/>
        <v>882.06</v>
      </c>
    </row>
    <row r="340" spans="1:31" x14ac:dyDescent="0.25">
      <c r="A340" t="s">
        <v>630</v>
      </c>
      <c r="B340" t="str">
        <f t="shared" si="45"/>
        <v xml:space="preserve">Jason Lopez </v>
      </c>
      <c r="C340" t="s">
        <v>629</v>
      </c>
      <c r="D340" t="s">
        <v>596</v>
      </c>
      <c r="E340">
        <v>40</v>
      </c>
      <c r="F340" t="str">
        <f t="shared" si="46"/>
        <v>36-45</v>
      </c>
      <c r="G340" t="s">
        <v>8</v>
      </c>
      <c r="H340" t="s">
        <v>79</v>
      </c>
      <c r="I340" t="s">
        <v>628</v>
      </c>
      <c r="J340" t="str">
        <f t="shared" si="47"/>
        <v>outlook.com</v>
      </c>
      <c r="K340" t="s">
        <v>627</v>
      </c>
      <c r="L340" t="s">
        <v>897</v>
      </c>
      <c r="M340" s="2">
        <v>45285</v>
      </c>
      <c r="N340" t="s">
        <v>896</v>
      </c>
      <c r="O340" t="s">
        <v>74</v>
      </c>
      <c r="P340">
        <v>129.75</v>
      </c>
      <c r="Q340">
        <v>2</v>
      </c>
      <c r="R340" t="s">
        <v>93</v>
      </c>
      <c r="S340" s="5">
        <v>15</v>
      </c>
      <c r="T340" s="3">
        <v>1</v>
      </c>
      <c r="U340" s="4" t="str">
        <f t="shared" si="48"/>
        <v>Late_Delivery</v>
      </c>
      <c r="V340">
        <v>62</v>
      </c>
      <c r="W340" s="3">
        <f t="shared" si="49"/>
        <v>5</v>
      </c>
      <c r="X340" s="2">
        <v>45290</v>
      </c>
      <c r="Y340" s="1">
        <f>YEAR(Table2[[#This Row],[Delivery_Date]])</f>
        <v>2023</v>
      </c>
      <c r="Z340" s="2" t="str">
        <f t="shared" si="50"/>
        <v>Dec</v>
      </c>
      <c r="AA340" t="s">
        <v>895</v>
      </c>
      <c r="AB340">
        <f t="shared" si="51"/>
        <v>282.57499999999999</v>
      </c>
      <c r="AC340">
        <f>Table2[[#This Row],[Price]]*Table2[[#This Row],[Quantity]]*Table2[[#This Row],[COUPON %]]/100</f>
        <v>38.924999999999997</v>
      </c>
      <c r="AD340">
        <f t="shared" si="52"/>
        <v>220.57499999999999</v>
      </c>
      <c r="AE340" s="1">
        <f t="shared" si="53"/>
        <v>259.5</v>
      </c>
    </row>
    <row r="341" spans="1:31" x14ac:dyDescent="0.25">
      <c r="A341" t="s">
        <v>894</v>
      </c>
      <c r="B341" t="str">
        <f t="shared" si="45"/>
        <v xml:space="preserve">Veronica Lopez </v>
      </c>
      <c r="C341" t="s">
        <v>893</v>
      </c>
      <c r="D341" t="s">
        <v>596</v>
      </c>
      <c r="E341">
        <v>18</v>
      </c>
      <c r="F341" t="str">
        <f t="shared" si="46"/>
        <v>0-25</v>
      </c>
      <c r="G341" t="s">
        <v>29</v>
      </c>
      <c r="H341" t="s">
        <v>18</v>
      </c>
      <c r="I341" t="s">
        <v>892</v>
      </c>
      <c r="J341" t="str">
        <f t="shared" si="47"/>
        <v>gmail.com</v>
      </c>
      <c r="K341" t="s">
        <v>891</v>
      </c>
      <c r="L341" t="s">
        <v>890</v>
      </c>
      <c r="M341" s="2">
        <v>45682</v>
      </c>
      <c r="N341" t="s">
        <v>889</v>
      </c>
      <c r="O341" t="s">
        <v>199</v>
      </c>
      <c r="P341">
        <v>477.52</v>
      </c>
      <c r="Q341">
        <v>3</v>
      </c>
      <c r="R341" t="s">
        <v>64</v>
      </c>
      <c r="S341" s="5">
        <v>20</v>
      </c>
      <c r="T341" s="3">
        <v>7</v>
      </c>
      <c r="U341" s="4" t="str">
        <f t="shared" si="48"/>
        <v>Before_time</v>
      </c>
      <c r="V341">
        <v>41</v>
      </c>
      <c r="W341" s="3">
        <f t="shared" si="49"/>
        <v>4</v>
      </c>
      <c r="X341" s="2">
        <v>45686</v>
      </c>
      <c r="Y341" s="1">
        <f>YEAR(Table2[[#This Row],[Delivery_Date]])</f>
        <v>2025</v>
      </c>
      <c r="Z341" s="2" t="str">
        <f t="shared" si="50"/>
        <v>Jan</v>
      </c>
      <c r="AA341" t="s">
        <v>888</v>
      </c>
      <c r="AB341">
        <f t="shared" si="51"/>
        <v>1187.048</v>
      </c>
      <c r="AC341">
        <f>Table2[[#This Row],[Price]]*Table2[[#This Row],[Quantity]]*Table2[[#This Row],[COUPON %]]/100</f>
        <v>286.51199999999994</v>
      </c>
      <c r="AD341">
        <f t="shared" si="52"/>
        <v>1146.048</v>
      </c>
      <c r="AE341" s="1">
        <f t="shared" si="53"/>
        <v>1432.56</v>
      </c>
    </row>
    <row r="342" spans="1:31" x14ac:dyDescent="0.25">
      <c r="A342" t="s">
        <v>817</v>
      </c>
      <c r="B342" t="str">
        <f t="shared" si="45"/>
        <v xml:space="preserve">Sharon Thompson </v>
      </c>
      <c r="C342" t="s">
        <v>816</v>
      </c>
      <c r="D342" t="s">
        <v>119</v>
      </c>
      <c r="E342">
        <v>57</v>
      </c>
      <c r="F342" t="str">
        <f t="shared" si="46"/>
        <v>&gt;45</v>
      </c>
      <c r="G342" t="s">
        <v>29</v>
      </c>
      <c r="H342" t="s">
        <v>18</v>
      </c>
      <c r="I342" t="s">
        <v>815</v>
      </c>
      <c r="J342" t="str">
        <f t="shared" si="47"/>
        <v>yahoo.com</v>
      </c>
      <c r="K342" t="s">
        <v>814</v>
      </c>
      <c r="L342" t="s">
        <v>887</v>
      </c>
      <c r="M342" s="2">
        <v>45453</v>
      </c>
      <c r="N342" t="s">
        <v>886</v>
      </c>
      <c r="O342" t="s">
        <v>123</v>
      </c>
      <c r="P342">
        <v>107.47</v>
      </c>
      <c r="Q342">
        <v>3</v>
      </c>
      <c r="R342" t="s">
        <v>166</v>
      </c>
      <c r="S342" s="5">
        <v>10</v>
      </c>
      <c r="T342" s="3">
        <v>4</v>
      </c>
      <c r="U342" s="4" t="str">
        <f t="shared" si="48"/>
        <v>Before_time</v>
      </c>
      <c r="V342">
        <v>59</v>
      </c>
      <c r="W342" s="3">
        <f t="shared" si="49"/>
        <v>1</v>
      </c>
      <c r="X342" s="2">
        <v>45454</v>
      </c>
      <c r="Y342" s="1">
        <f>YEAR(Table2[[#This Row],[Delivery_Date]])</f>
        <v>2024</v>
      </c>
      <c r="Z342" s="2" t="str">
        <f t="shared" si="50"/>
        <v>Jun</v>
      </c>
      <c r="AA342" t="s">
        <v>885</v>
      </c>
      <c r="AB342">
        <f t="shared" si="51"/>
        <v>349.16899999999998</v>
      </c>
      <c r="AC342">
        <f>Table2[[#This Row],[Price]]*Table2[[#This Row],[Quantity]]*Table2[[#This Row],[COUPON %]]/100</f>
        <v>32.240999999999993</v>
      </c>
      <c r="AD342">
        <f t="shared" si="52"/>
        <v>290.16899999999998</v>
      </c>
      <c r="AE342" s="1">
        <f t="shared" si="53"/>
        <v>322.40999999999997</v>
      </c>
    </row>
    <row r="343" spans="1:31" x14ac:dyDescent="0.25">
      <c r="A343" t="s">
        <v>884</v>
      </c>
      <c r="B343" t="str">
        <f t="shared" si="45"/>
        <v xml:space="preserve">Kristina Haynes </v>
      </c>
      <c r="C343" t="s">
        <v>883</v>
      </c>
      <c r="D343" t="s">
        <v>882</v>
      </c>
      <c r="E343">
        <v>27</v>
      </c>
      <c r="F343" t="str">
        <f t="shared" si="46"/>
        <v>26-35</v>
      </c>
      <c r="G343" t="s">
        <v>108</v>
      </c>
      <c r="H343" t="s">
        <v>7</v>
      </c>
      <c r="I343" t="s">
        <v>881</v>
      </c>
      <c r="J343" t="str">
        <f t="shared" si="47"/>
        <v>yahoo.com</v>
      </c>
      <c r="K343" t="s">
        <v>880</v>
      </c>
      <c r="L343" t="s">
        <v>879</v>
      </c>
      <c r="M343" s="2">
        <v>45185</v>
      </c>
      <c r="N343" t="s">
        <v>878</v>
      </c>
      <c r="O343" t="s">
        <v>190</v>
      </c>
      <c r="P343">
        <v>158.53</v>
      </c>
      <c r="Q343">
        <v>2</v>
      </c>
      <c r="R343" t="s">
        <v>34</v>
      </c>
      <c r="S343" s="5">
        <v>8</v>
      </c>
      <c r="T343" s="3">
        <v>2</v>
      </c>
      <c r="U343" s="4" t="str">
        <f t="shared" si="48"/>
        <v>On_time</v>
      </c>
      <c r="V343">
        <v>56</v>
      </c>
      <c r="W343" s="3">
        <f t="shared" si="49"/>
        <v>2</v>
      </c>
      <c r="X343" s="2">
        <v>45187</v>
      </c>
      <c r="Y343" s="1">
        <f>YEAR(Table2[[#This Row],[Delivery_Date]])</f>
        <v>2023</v>
      </c>
      <c r="Z343" s="2" t="str">
        <f t="shared" si="50"/>
        <v>Sep</v>
      </c>
      <c r="AA343" t="s">
        <v>877</v>
      </c>
      <c r="AB343">
        <f t="shared" si="51"/>
        <v>347.6952</v>
      </c>
      <c r="AC343">
        <f>Table2[[#This Row],[Price]]*Table2[[#This Row],[Quantity]]*Table2[[#This Row],[COUPON %]]/100</f>
        <v>25.364799999999999</v>
      </c>
      <c r="AD343">
        <f t="shared" si="52"/>
        <v>291.6952</v>
      </c>
      <c r="AE343" s="1">
        <f t="shared" si="53"/>
        <v>317.06</v>
      </c>
    </row>
    <row r="344" spans="1:31" x14ac:dyDescent="0.25">
      <c r="A344" t="s">
        <v>537</v>
      </c>
      <c r="B344" t="str">
        <f t="shared" si="45"/>
        <v xml:space="preserve">Lauren Lane </v>
      </c>
      <c r="C344" t="s">
        <v>254</v>
      </c>
      <c r="D344" t="s">
        <v>536</v>
      </c>
      <c r="E344">
        <v>30</v>
      </c>
      <c r="F344" t="str">
        <f t="shared" si="46"/>
        <v>26-35</v>
      </c>
      <c r="G344" t="s">
        <v>108</v>
      </c>
      <c r="H344" t="s">
        <v>18</v>
      </c>
      <c r="I344" t="s">
        <v>535</v>
      </c>
      <c r="J344" t="str">
        <f t="shared" si="47"/>
        <v>gmail.com</v>
      </c>
      <c r="K344" t="s">
        <v>534</v>
      </c>
      <c r="L344" t="s">
        <v>876</v>
      </c>
      <c r="M344" s="2">
        <v>45423</v>
      </c>
      <c r="N344" t="s">
        <v>875</v>
      </c>
      <c r="O344" t="s">
        <v>113</v>
      </c>
      <c r="P344">
        <v>441.03</v>
      </c>
      <c r="Q344">
        <v>2</v>
      </c>
      <c r="R344" t="s">
        <v>1</v>
      </c>
      <c r="S344" s="5">
        <v>0</v>
      </c>
      <c r="T344" s="3">
        <v>4</v>
      </c>
      <c r="U344" s="4" t="str">
        <f t="shared" si="48"/>
        <v>Late_Delivery</v>
      </c>
      <c r="V344">
        <v>55</v>
      </c>
      <c r="W344" s="3">
        <f t="shared" si="49"/>
        <v>6</v>
      </c>
      <c r="X344" s="2">
        <v>45429</v>
      </c>
      <c r="Y344" s="1">
        <f>YEAR(Table2[[#This Row],[Delivery_Date]])</f>
        <v>2024</v>
      </c>
      <c r="Z344" s="2" t="str">
        <f t="shared" si="50"/>
        <v>May</v>
      </c>
      <c r="AA344" t="s">
        <v>874</v>
      </c>
      <c r="AB344">
        <f t="shared" si="51"/>
        <v>937.06</v>
      </c>
      <c r="AC344">
        <f>Table2[[#This Row],[Price]]*Table2[[#This Row],[Quantity]]*Table2[[#This Row],[COUPON %]]/100</f>
        <v>0</v>
      </c>
      <c r="AD344">
        <f t="shared" si="52"/>
        <v>882.06</v>
      </c>
      <c r="AE344" s="1">
        <f t="shared" si="53"/>
        <v>882.06</v>
      </c>
    </row>
    <row r="345" spans="1:31" x14ac:dyDescent="0.25">
      <c r="A345" t="s">
        <v>492</v>
      </c>
      <c r="B345" t="str">
        <f t="shared" si="45"/>
        <v xml:space="preserve">Barbara Fuller </v>
      </c>
      <c r="C345" t="s">
        <v>491</v>
      </c>
      <c r="D345" t="s">
        <v>490</v>
      </c>
      <c r="E345">
        <v>43</v>
      </c>
      <c r="F345" t="str">
        <f t="shared" si="46"/>
        <v>36-45</v>
      </c>
      <c r="G345" t="s">
        <v>8</v>
      </c>
      <c r="H345" t="s">
        <v>40</v>
      </c>
      <c r="I345" t="s">
        <v>489</v>
      </c>
      <c r="J345" t="str">
        <f t="shared" si="47"/>
        <v>rediffmail.com</v>
      </c>
      <c r="K345" t="s">
        <v>488</v>
      </c>
      <c r="L345" t="s">
        <v>873</v>
      </c>
      <c r="M345" s="2">
        <v>44966</v>
      </c>
      <c r="N345" t="s">
        <v>872</v>
      </c>
      <c r="O345" t="s">
        <v>245</v>
      </c>
      <c r="P345">
        <v>87.09</v>
      </c>
      <c r="Q345">
        <v>5</v>
      </c>
      <c r="R345" t="s">
        <v>1</v>
      </c>
      <c r="S345" s="5">
        <v>0</v>
      </c>
      <c r="T345" s="3">
        <v>7</v>
      </c>
      <c r="U345" s="4" t="str">
        <f t="shared" si="48"/>
        <v>Before_time</v>
      </c>
      <c r="V345">
        <v>56</v>
      </c>
      <c r="W345" s="3">
        <f t="shared" si="49"/>
        <v>5</v>
      </c>
      <c r="X345" s="2">
        <v>44971</v>
      </c>
      <c r="Y345" s="1">
        <f>YEAR(Table2[[#This Row],[Delivery_Date]])</f>
        <v>2023</v>
      </c>
      <c r="Z345" s="2" t="str">
        <f t="shared" si="50"/>
        <v>Feb</v>
      </c>
      <c r="AA345" t="s">
        <v>871</v>
      </c>
      <c r="AB345">
        <f t="shared" si="51"/>
        <v>491.45000000000005</v>
      </c>
      <c r="AC345">
        <f>Table2[[#This Row],[Price]]*Table2[[#This Row],[Quantity]]*Table2[[#This Row],[COUPON %]]/100</f>
        <v>0</v>
      </c>
      <c r="AD345">
        <f t="shared" si="52"/>
        <v>435.45000000000005</v>
      </c>
      <c r="AE345" s="1">
        <f t="shared" si="53"/>
        <v>435.45000000000005</v>
      </c>
    </row>
    <row r="346" spans="1:31" x14ac:dyDescent="0.25">
      <c r="A346" t="s">
        <v>11</v>
      </c>
      <c r="B346" t="str">
        <f t="shared" si="45"/>
        <v xml:space="preserve">Angela Evans </v>
      </c>
      <c r="C346" t="s">
        <v>10</v>
      </c>
      <c r="D346" t="s">
        <v>9</v>
      </c>
      <c r="E346">
        <v>52</v>
      </c>
      <c r="F346" t="str">
        <f t="shared" si="46"/>
        <v>&gt;45</v>
      </c>
      <c r="G346" t="s">
        <v>8</v>
      </c>
      <c r="H346" t="s">
        <v>7</v>
      </c>
      <c r="I346" t="s">
        <v>6</v>
      </c>
      <c r="J346" t="str">
        <f t="shared" si="47"/>
        <v>outlook.com</v>
      </c>
      <c r="K346" t="s">
        <v>5</v>
      </c>
      <c r="L346" t="s">
        <v>870</v>
      </c>
      <c r="M346" s="2">
        <v>45303</v>
      </c>
      <c r="N346" t="s">
        <v>869</v>
      </c>
      <c r="O346" t="s">
        <v>466</v>
      </c>
      <c r="P346">
        <v>104.18</v>
      </c>
      <c r="Q346">
        <v>4</v>
      </c>
      <c r="R346" t="s">
        <v>1</v>
      </c>
      <c r="S346" s="5">
        <v>0</v>
      </c>
      <c r="T346" s="3">
        <v>3</v>
      </c>
      <c r="U346" s="4" t="str">
        <f t="shared" si="48"/>
        <v>Late_Delivery</v>
      </c>
      <c r="V346">
        <v>40</v>
      </c>
      <c r="W346" s="3">
        <f t="shared" si="49"/>
        <v>5</v>
      </c>
      <c r="X346" s="2">
        <v>45308</v>
      </c>
      <c r="Y346" s="1">
        <f>YEAR(Table2[[#This Row],[Delivery_Date]])</f>
        <v>2024</v>
      </c>
      <c r="Z346" s="2" t="str">
        <f t="shared" si="50"/>
        <v>Jan</v>
      </c>
      <c r="AA346" t="s">
        <v>868</v>
      </c>
      <c r="AB346">
        <f t="shared" si="51"/>
        <v>456.72</v>
      </c>
      <c r="AC346">
        <f>Table2[[#This Row],[Price]]*Table2[[#This Row],[Quantity]]*Table2[[#This Row],[COUPON %]]/100</f>
        <v>0</v>
      </c>
      <c r="AD346">
        <f t="shared" si="52"/>
        <v>416.72</v>
      </c>
      <c r="AE346" s="1">
        <f t="shared" si="53"/>
        <v>416.72</v>
      </c>
    </row>
    <row r="347" spans="1:31" x14ac:dyDescent="0.25">
      <c r="A347" t="s">
        <v>510</v>
      </c>
      <c r="B347" t="str">
        <f t="shared" si="45"/>
        <v xml:space="preserve">Katherine Weber </v>
      </c>
      <c r="C347" t="s">
        <v>509</v>
      </c>
      <c r="D347" t="s">
        <v>508</v>
      </c>
      <c r="E347">
        <v>42</v>
      </c>
      <c r="F347" t="str">
        <f t="shared" si="46"/>
        <v>36-45</v>
      </c>
      <c r="G347" t="s">
        <v>8</v>
      </c>
      <c r="H347" t="s">
        <v>28</v>
      </c>
      <c r="I347" t="s">
        <v>507</v>
      </c>
      <c r="J347" t="str">
        <f t="shared" si="47"/>
        <v>outlook.com</v>
      </c>
      <c r="K347" t="s">
        <v>506</v>
      </c>
      <c r="L347" t="s">
        <v>867</v>
      </c>
      <c r="M347" s="2">
        <v>45666</v>
      </c>
      <c r="N347" t="s">
        <v>866</v>
      </c>
      <c r="O347" t="s">
        <v>94</v>
      </c>
      <c r="P347">
        <v>33.49</v>
      </c>
      <c r="Q347">
        <v>1</v>
      </c>
      <c r="R347" t="s">
        <v>64</v>
      </c>
      <c r="S347" s="5">
        <v>20</v>
      </c>
      <c r="T347" s="3">
        <v>4</v>
      </c>
      <c r="U347" s="4" t="str">
        <f t="shared" si="48"/>
        <v>Before_time</v>
      </c>
      <c r="V347">
        <v>61</v>
      </c>
      <c r="W347" s="3">
        <f t="shared" si="49"/>
        <v>2</v>
      </c>
      <c r="X347" s="2">
        <v>45668</v>
      </c>
      <c r="Y347" s="1">
        <f>YEAR(Table2[[#This Row],[Delivery_Date]])</f>
        <v>2025</v>
      </c>
      <c r="Z347" s="2" t="str">
        <f t="shared" si="50"/>
        <v>Jan</v>
      </c>
      <c r="AA347" t="s">
        <v>865</v>
      </c>
      <c r="AB347">
        <f t="shared" si="51"/>
        <v>87.792000000000002</v>
      </c>
      <c r="AC347">
        <f>Table2[[#This Row],[Price]]*Table2[[#This Row],[Quantity]]*Table2[[#This Row],[COUPON %]]/100</f>
        <v>6.6980000000000004</v>
      </c>
      <c r="AD347">
        <f t="shared" si="52"/>
        <v>26.792000000000002</v>
      </c>
      <c r="AE347" s="1">
        <f t="shared" si="53"/>
        <v>33.49</v>
      </c>
    </row>
    <row r="348" spans="1:31" x14ac:dyDescent="0.25">
      <c r="A348" t="s">
        <v>537</v>
      </c>
      <c r="B348" t="str">
        <f t="shared" si="45"/>
        <v xml:space="preserve">Lauren Lane </v>
      </c>
      <c r="C348" t="s">
        <v>254</v>
      </c>
      <c r="D348" t="s">
        <v>536</v>
      </c>
      <c r="E348">
        <v>30</v>
      </c>
      <c r="F348" t="str">
        <f t="shared" si="46"/>
        <v>26-35</v>
      </c>
      <c r="G348" t="s">
        <v>108</v>
      </c>
      <c r="H348" t="s">
        <v>18</v>
      </c>
      <c r="I348" t="s">
        <v>535</v>
      </c>
      <c r="J348" t="str">
        <f t="shared" si="47"/>
        <v>gmail.com</v>
      </c>
      <c r="K348" t="s">
        <v>534</v>
      </c>
      <c r="L348" t="s">
        <v>864</v>
      </c>
      <c r="M348" s="2">
        <v>45386</v>
      </c>
      <c r="N348" t="s">
        <v>863</v>
      </c>
      <c r="O348" t="s">
        <v>45</v>
      </c>
      <c r="P348">
        <v>433.62</v>
      </c>
      <c r="Q348">
        <v>4</v>
      </c>
      <c r="R348" t="s">
        <v>1</v>
      </c>
      <c r="S348" s="5">
        <v>0</v>
      </c>
      <c r="T348" s="3">
        <v>1</v>
      </c>
      <c r="U348" s="4" t="str">
        <f t="shared" si="48"/>
        <v>Late_Delivery</v>
      </c>
      <c r="V348">
        <v>56</v>
      </c>
      <c r="W348" s="3">
        <f t="shared" si="49"/>
        <v>6</v>
      </c>
      <c r="X348" s="2">
        <v>45392</v>
      </c>
      <c r="Y348" s="1">
        <f>YEAR(Table2[[#This Row],[Delivery_Date]])</f>
        <v>2024</v>
      </c>
      <c r="Z348" s="2" t="str">
        <f t="shared" si="50"/>
        <v>Apr</v>
      </c>
      <c r="AA348" t="s">
        <v>862</v>
      </c>
      <c r="AB348">
        <f t="shared" si="51"/>
        <v>1790.48</v>
      </c>
      <c r="AC348">
        <f>Table2[[#This Row],[Price]]*Table2[[#This Row],[Quantity]]*Table2[[#This Row],[COUPON %]]/100</f>
        <v>0</v>
      </c>
      <c r="AD348">
        <f t="shared" si="52"/>
        <v>1734.48</v>
      </c>
      <c r="AE348" s="1">
        <f t="shared" si="53"/>
        <v>1734.48</v>
      </c>
    </row>
    <row r="349" spans="1:31" x14ac:dyDescent="0.25">
      <c r="A349" t="s">
        <v>861</v>
      </c>
      <c r="B349" t="str">
        <f t="shared" si="45"/>
        <v xml:space="preserve">Thomas Owens </v>
      </c>
      <c r="C349" t="s">
        <v>369</v>
      </c>
      <c r="D349" t="s">
        <v>860</v>
      </c>
      <c r="E349">
        <v>34</v>
      </c>
      <c r="F349" t="str">
        <f t="shared" si="46"/>
        <v>26-35</v>
      </c>
      <c r="G349" t="s">
        <v>8</v>
      </c>
      <c r="H349" t="s">
        <v>18</v>
      </c>
      <c r="I349" t="s">
        <v>859</v>
      </c>
      <c r="J349" t="str">
        <f t="shared" si="47"/>
        <v>outlook.com</v>
      </c>
      <c r="K349" t="s">
        <v>858</v>
      </c>
      <c r="L349" t="s">
        <v>857</v>
      </c>
      <c r="M349" s="2">
        <v>45085</v>
      </c>
      <c r="N349" t="s">
        <v>856</v>
      </c>
      <c r="O349" t="s">
        <v>65</v>
      </c>
      <c r="P349">
        <v>20.7</v>
      </c>
      <c r="Q349">
        <v>1</v>
      </c>
      <c r="R349" t="s">
        <v>1</v>
      </c>
      <c r="S349" s="5">
        <v>0</v>
      </c>
      <c r="T349" s="3">
        <v>5</v>
      </c>
      <c r="U349" s="4" t="str">
        <f t="shared" si="48"/>
        <v>Before_time</v>
      </c>
      <c r="V349">
        <v>51</v>
      </c>
      <c r="W349" s="3">
        <f t="shared" si="49"/>
        <v>1</v>
      </c>
      <c r="X349" s="2">
        <v>45086</v>
      </c>
      <c r="Y349" s="1">
        <f>YEAR(Table2[[#This Row],[Delivery_Date]])</f>
        <v>2023</v>
      </c>
      <c r="Z349" s="2" t="str">
        <f t="shared" si="50"/>
        <v>Jun</v>
      </c>
      <c r="AA349" t="s">
        <v>855</v>
      </c>
      <c r="AB349">
        <f t="shared" si="51"/>
        <v>71.7</v>
      </c>
      <c r="AC349">
        <f>Table2[[#This Row],[Price]]*Table2[[#This Row],[Quantity]]*Table2[[#This Row],[COUPON %]]/100</f>
        <v>0</v>
      </c>
      <c r="AD349">
        <f t="shared" si="52"/>
        <v>20.7</v>
      </c>
      <c r="AE349" s="1">
        <f t="shared" si="53"/>
        <v>20.7</v>
      </c>
    </row>
    <row r="350" spans="1:31" x14ac:dyDescent="0.25">
      <c r="A350" t="s">
        <v>854</v>
      </c>
      <c r="B350" t="str">
        <f t="shared" si="45"/>
        <v xml:space="preserve">Marcus Rogers </v>
      </c>
      <c r="C350" t="s">
        <v>853</v>
      </c>
      <c r="D350" t="s">
        <v>852</v>
      </c>
      <c r="E350">
        <v>36</v>
      </c>
      <c r="F350" t="str">
        <f t="shared" si="46"/>
        <v>36-45</v>
      </c>
      <c r="G350" t="s">
        <v>29</v>
      </c>
      <c r="H350" t="s">
        <v>107</v>
      </c>
      <c r="I350" t="s">
        <v>851</v>
      </c>
      <c r="J350" t="str">
        <f t="shared" si="47"/>
        <v>outlook.com</v>
      </c>
      <c r="K350" t="s">
        <v>850</v>
      </c>
      <c r="L350" t="s">
        <v>849</v>
      </c>
      <c r="M350" s="2">
        <v>45028</v>
      </c>
      <c r="N350" t="s">
        <v>848</v>
      </c>
      <c r="O350" t="s">
        <v>113</v>
      </c>
      <c r="P350">
        <v>441.03</v>
      </c>
      <c r="Q350">
        <v>2</v>
      </c>
      <c r="R350" t="s">
        <v>166</v>
      </c>
      <c r="S350" s="5">
        <v>10</v>
      </c>
      <c r="T350" s="3">
        <v>4</v>
      </c>
      <c r="U350" s="4" t="str">
        <f t="shared" si="48"/>
        <v>Late_Delivery</v>
      </c>
      <c r="V350">
        <v>60</v>
      </c>
      <c r="W350" s="3">
        <f t="shared" si="49"/>
        <v>5</v>
      </c>
      <c r="X350" s="2">
        <v>45033</v>
      </c>
      <c r="Y350" s="1">
        <f>YEAR(Table2[[#This Row],[Delivery_Date]])</f>
        <v>2023</v>
      </c>
      <c r="Z350" s="2" t="str">
        <f t="shared" si="50"/>
        <v>Apr</v>
      </c>
      <c r="AA350" t="s">
        <v>847</v>
      </c>
      <c r="AB350">
        <f t="shared" si="51"/>
        <v>853.85399999999993</v>
      </c>
      <c r="AC350">
        <f>Table2[[#This Row],[Price]]*Table2[[#This Row],[Quantity]]*Table2[[#This Row],[COUPON %]]/100</f>
        <v>88.205999999999989</v>
      </c>
      <c r="AD350">
        <f t="shared" si="52"/>
        <v>793.85399999999993</v>
      </c>
      <c r="AE350" s="1">
        <f t="shared" si="53"/>
        <v>882.06</v>
      </c>
    </row>
    <row r="351" spans="1:31" x14ac:dyDescent="0.25">
      <c r="A351" t="s">
        <v>846</v>
      </c>
      <c r="B351" t="str">
        <f t="shared" si="45"/>
        <v xml:space="preserve">Brendan Kelly </v>
      </c>
      <c r="C351" t="s">
        <v>845</v>
      </c>
      <c r="D351" t="s">
        <v>844</v>
      </c>
      <c r="E351">
        <v>50</v>
      </c>
      <c r="F351" t="str">
        <f t="shared" si="46"/>
        <v>&gt;45</v>
      </c>
      <c r="G351" t="s">
        <v>8</v>
      </c>
      <c r="H351" t="s">
        <v>79</v>
      </c>
      <c r="I351" t="s">
        <v>843</v>
      </c>
      <c r="J351" t="str">
        <f t="shared" si="47"/>
        <v>rediffmail.com</v>
      </c>
      <c r="K351" t="s">
        <v>842</v>
      </c>
      <c r="L351" t="s">
        <v>841</v>
      </c>
      <c r="M351" s="2">
        <v>45183</v>
      </c>
      <c r="N351" t="s">
        <v>840</v>
      </c>
      <c r="O351" t="s">
        <v>45</v>
      </c>
      <c r="P351">
        <v>433.62</v>
      </c>
      <c r="Q351">
        <v>2</v>
      </c>
      <c r="R351" t="s">
        <v>1</v>
      </c>
      <c r="S351" s="5">
        <v>0</v>
      </c>
      <c r="T351" s="3">
        <v>1</v>
      </c>
      <c r="U351" s="4" t="str">
        <f t="shared" si="48"/>
        <v>Late_Delivery</v>
      </c>
      <c r="V351">
        <v>46</v>
      </c>
      <c r="W351" s="3">
        <f t="shared" si="49"/>
        <v>3</v>
      </c>
      <c r="X351" s="2">
        <v>45186</v>
      </c>
      <c r="Y351" s="1">
        <f>YEAR(Table2[[#This Row],[Delivery_Date]])</f>
        <v>2023</v>
      </c>
      <c r="Z351" s="2" t="str">
        <f t="shared" si="50"/>
        <v>Sep</v>
      </c>
      <c r="AA351" t="s">
        <v>839</v>
      </c>
      <c r="AB351">
        <f t="shared" si="51"/>
        <v>913.24</v>
      </c>
      <c r="AC351">
        <f>Table2[[#This Row],[Price]]*Table2[[#This Row],[Quantity]]*Table2[[#This Row],[COUPON %]]/100</f>
        <v>0</v>
      </c>
      <c r="AD351">
        <f t="shared" si="52"/>
        <v>867.24</v>
      </c>
      <c r="AE351" s="1">
        <f t="shared" si="53"/>
        <v>867.24</v>
      </c>
    </row>
    <row r="352" spans="1:31" x14ac:dyDescent="0.25">
      <c r="A352" t="s">
        <v>838</v>
      </c>
      <c r="B352" t="str">
        <f t="shared" si="45"/>
        <v xml:space="preserve">Christian Clayton </v>
      </c>
      <c r="C352" t="s">
        <v>837</v>
      </c>
      <c r="D352" t="s">
        <v>836</v>
      </c>
      <c r="E352">
        <v>39</v>
      </c>
      <c r="F352" t="str">
        <f t="shared" si="46"/>
        <v>36-45</v>
      </c>
      <c r="G352" t="s">
        <v>29</v>
      </c>
      <c r="H352" t="s">
        <v>40</v>
      </c>
      <c r="I352" t="s">
        <v>835</v>
      </c>
      <c r="J352" t="str">
        <f t="shared" si="47"/>
        <v>yahoo.com</v>
      </c>
      <c r="K352" t="s">
        <v>834</v>
      </c>
      <c r="L352" t="s">
        <v>833</v>
      </c>
      <c r="M352" s="2">
        <v>45387</v>
      </c>
      <c r="N352" t="s">
        <v>832</v>
      </c>
      <c r="O352" t="s">
        <v>13</v>
      </c>
      <c r="P352">
        <v>424.82</v>
      </c>
      <c r="Q352">
        <v>5</v>
      </c>
      <c r="R352" t="s">
        <v>166</v>
      </c>
      <c r="S352" s="5">
        <v>10</v>
      </c>
      <c r="T352" s="3">
        <v>7</v>
      </c>
      <c r="U352" s="4" t="str">
        <f t="shared" si="48"/>
        <v>Before_time</v>
      </c>
      <c r="V352">
        <v>37</v>
      </c>
      <c r="W352" s="3">
        <f t="shared" si="49"/>
        <v>6</v>
      </c>
      <c r="X352" s="2">
        <v>45393</v>
      </c>
      <c r="Y352" s="1">
        <f>YEAR(Table2[[#This Row],[Delivery_Date]])</f>
        <v>2024</v>
      </c>
      <c r="Z352" s="2" t="str">
        <f t="shared" si="50"/>
        <v>Apr</v>
      </c>
      <c r="AA352" t="s">
        <v>831</v>
      </c>
      <c r="AB352">
        <f t="shared" si="51"/>
        <v>1948.69</v>
      </c>
      <c r="AC352">
        <f>Table2[[#This Row],[Price]]*Table2[[#This Row],[Quantity]]*Table2[[#This Row],[COUPON %]]/100</f>
        <v>212.41</v>
      </c>
      <c r="AD352">
        <f t="shared" si="52"/>
        <v>1911.69</v>
      </c>
      <c r="AE352" s="1">
        <f t="shared" si="53"/>
        <v>2124.1</v>
      </c>
    </row>
    <row r="353" spans="1:31" x14ac:dyDescent="0.25">
      <c r="A353" t="s">
        <v>651</v>
      </c>
      <c r="B353" t="str">
        <f t="shared" si="45"/>
        <v xml:space="preserve">Christy Chang </v>
      </c>
      <c r="C353" t="s">
        <v>650</v>
      </c>
      <c r="D353" t="s">
        <v>649</v>
      </c>
      <c r="E353">
        <v>38</v>
      </c>
      <c r="F353" t="str">
        <f t="shared" si="46"/>
        <v>36-45</v>
      </c>
      <c r="G353" t="s">
        <v>29</v>
      </c>
      <c r="H353" t="s">
        <v>18</v>
      </c>
      <c r="I353" t="s">
        <v>648</v>
      </c>
      <c r="J353" t="str">
        <f t="shared" si="47"/>
        <v>outlook.com</v>
      </c>
      <c r="K353" t="s">
        <v>647</v>
      </c>
      <c r="L353" t="s">
        <v>830</v>
      </c>
      <c r="M353" s="2">
        <v>45496</v>
      </c>
      <c r="N353" t="s">
        <v>829</v>
      </c>
      <c r="O353" t="s">
        <v>45</v>
      </c>
      <c r="P353">
        <v>433.62</v>
      </c>
      <c r="Q353">
        <v>3</v>
      </c>
      <c r="R353" t="s">
        <v>166</v>
      </c>
      <c r="S353" s="5">
        <v>10</v>
      </c>
      <c r="T353" s="3">
        <v>2</v>
      </c>
      <c r="U353" s="4" t="str">
        <f t="shared" si="48"/>
        <v>Late_Delivery</v>
      </c>
      <c r="V353">
        <v>39</v>
      </c>
      <c r="W353" s="3">
        <f t="shared" si="49"/>
        <v>3</v>
      </c>
      <c r="X353" s="2">
        <v>45499</v>
      </c>
      <c r="Y353" s="1">
        <f>YEAR(Table2[[#This Row],[Delivery_Date]])</f>
        <v>2024</v>
      </c>
      <c r="Z353" s="2" t="str">
        <f t="shared" si="50"/>
        <v>Jul</v>
      </c>
      <c r="AA353" t="s">
        <v>828</v>
      </c>
      <c r="AB353">
        <f t="shared" si="51"/>
        <v>1209.7740000000001</v>
      </c>
      <c r="AC353">
        <f>Table2[[#This Row],[Price]]*Table2[[#This Row],[Quantity]]*Table2[[#This Row],[COUPON %]]/100</f>
        <v>130.08600000000001</v>
      </c>
      <c r="AD353">
        <f t="shared" si="52"/>
        <v>1170.7740000000001</v>
      </c>
      <c r="AE353" s="1">
        <f t="shared" si="53"/>
        <v>1300.8600000000001</v>
      </c>
    </row>
    <row r="354" spans="1:31" x14ac:dyDescent="0.25">
      <c r="A354" t="s">
        <v>827</v>
      </c>
      <c r="B354" t="str">
        <f t="shared" si="45"/>
        <v xml:space="preserve">Susan Thompson </v>
      </c>
      <c r="C354" t="s">
        <v>826</v>
      </c>
      <c r="D354" t="s">
        <v>119</v>
      </c>
      <c r="E354">
        <v>37</v>
      </c>
      <c r="F354" t="str">
        <f t="shared" si="46"/>
        <v>36-45</v>
      </c>
      <c r="G354" t="s">
        <v>8</v>
      </c>
      <c r="H354" t="s">
        <v>18</v>
      </c>
      <c r="I354" t="s">
        <v>825</v>
      </c>
      <c r="J354" t="str">
        <f t="shared" si="47"/>
        <v>outlook.com</v>
      </c>
      <c r="K354" t="s">
        <v>824</v>
      </c>
      <c r="L354" t="s">
        <v>823</v>
      </c>
      <c r="M354" s="2">
        <v>45187</v>
      </c>
      <c r="N354" t="s">
        <v>822</v>
      </c>
      <c r="O354" t="s">
        <v>299</v>
      </c>
      <c r="P354">
        <v>235.63</v>
      </c>
      <c r="Q354">
        <v>1</v>
      </c>
      <c r="R354" t="s">
        <v>64</v>
      </c>
      <c r="S354" s="5">
        <v>20</v>
      </c>
      <c r="T354" s="3">
        <v>5</v>
      </c>
      <c r="U354" s="4" t="str">
        <f t="shared" si="48"/>
        <v>On_time</v>
      </c>
      <c r="V354">
        <v>59</v>
      </c>
      <c r="W354" s="3">
        <f t="shared" si="49"/>
        <v>5</v>
      </c>
      <c r="X354" s="2">
        <v>45192</v>
      </c>
      <c r="Y354" s="1">
        <f>YEAR(Table2[[#This Row],[Delivery_Date]])</f>
        <v>2023</v>
      </c>
      <c r="Z354" s="2" t="str">
        <f t="shared" si="50"/>
        <v>Sep</v>
      </c>
      <c r="AA354" t="s">
        <v>821</v>
      </c>
      <c r="AB354">
        <f t="shared" si="51"/>
        <v>247.50400000000002</v>
      </c>
      <c r="AC354">
        <f>Table2[[#This Row],[Price]]*Table2[[#This Row],[Quantity]]*Table2[[#This Row],[COUPON %]]/100</f>
        <v>47.126000000000005</v>
      </c>
      <c r="AD354">
        <f t="shared" si="52"/>
        <v>188.50400000000002</v>
      </c>
      <c r="AE354" s="1">
        <f t="shared" si="53"/>
        <v>235.63</v>
      </c>
    </row>
    <row r="355" spans="1:31" x14ac:dyDescent="0.25">
      <c r="A355" t="s">
        <v>709</v>
      </c>
      <c r="B355" t="str">
        <f t="shared" si="45"/>
        <v xml:space="preserve">Sarah Benson </v>
      </c>
      <c r="C355" t="s">
        <v>556</v>
      </c>
      <c r="D355" t="s">
        <v>708</v>
      </c>
      <c r="E355">
        <v>40</v>
      </c>
      <c r="F355" t="str">
        <f t="shared" si="46"/>
        <v>36-45</v>
      </c>
      <c r="G355" t="s">
        <v>8</v>
      </c>
      <c r="H355" t="s">
        <v>18</v>
      </c>
      <c r="I355" t="s">
        <v>707</v>
      </c>
      <c r="J355" t="str">
        <f t="shared" si="47"/>
        <v>outlook.com</v>
      </c>
      <c r="K355" t="s">
        <v>706</v>
      </c>
      <c r="L355" t="s">
        <v>820</v>
      </c>
      <c r="M355" s="2">
        <v>45190</v>
      </c>
      <c r="N355" t="s">
        <v>819</v>
      </c>
      <c r="O355" t="s">
        <v>667</v>
      </c>
      <c r="P355">
        <v>421.7</v>
      </c>
      <c r="Q355">
        <v>5</v>
      </c>
      <c r="R355" t="s">
        <v>93</v>
      </c>
      <c r="S355" s="5">
        <v>15</v>
      </c>
      <c r="T355" s="3">
        <v>6</v>
      </c>
      <c r="U355" s="4" t="str">
        <f t="shared" si="48"/>
        <v>Late_Delivery</v>
      </c>
      <c r="V355">
        <v>58</v>
      </c>
      <c r="W355" s="3">
        <f t="shared" si="49"/>
        <v>7</v>
      </c>
      <c r="X355" s="2">
        <v>45197</v>
      </c>
      <c r="Y355" s="1">
        <f>YEAR(Table2[[#This Row],[Delivery_Date]])</f>
        <v>2023</v>
      </c>
      <c r="Z355" s="2" t="str">
        <f t="shared" si="50"/>
        <v>Sep</v>
      </c>
      <c r="AA355" t="s">
        <v>818</v>
      </c>
      <c r="AB355">
        <f t="shared" si="51"/>
        <v>1850.2249999999999</v>
      </c>
      <c r="AC355">
        <f>Table2[[#This Row],[Price]]*Table2[[#This Row],[Quantity]]*Table2[[#This Row],[COUPON %]]/100</f>
        <v>316.27499999999998</v>
      </c>
      <c r="AD355">
        <f t="shared" si="52"/>
        <v>1792.2249999999999</v>
      </c>
      <c r="AE355" s="1">
        <f t="shared" si="53"/>
        <v>2108.5</v>
      </c>
    </row>
    <row r="356" spans="1:31" x14ac:dyDescent="0.25">
      <c r="A356" t="s">
        <v>817</v>
      </c>
      <c r="B356" t="str">
        <f t="shared" si="45"/>
        <v xml:space="preserve">Sharon Thompson </v>
      </c>
      <c r="C356" t="s">
        <v>816</v>
      </c>
      <c r="D356" t="s">
        <v>119</v>
      </c>
      <c r="E356">
        <v>57</v>
      </c>
      <c r="F356" t="str">
        <f t="shared" si="46"/>
        <v>&gt;45</v>
      </c>
      <c r="G356" t="s">
        <v>29</v>
      </c>
      <c r="H356" t="s">
        <v>18</v>
      </c>
      <c r="I356" t="s">
        <v>815</v>
      </c>
      <c r="J356" t="str">
        <f t="shared" si="47"/>
        <v>yahoo.com</v>
      </c>
      <c r="K356" t="s">
        <v>814</v>
      </c>
      <c r="L356" t="s">
        <v>813</v>
      </c>
      <c r="M356" s="2">
        <v>45479</v>
      </c>
      <c r="N356" t="s">
        <v>812</v>
      </c>
      <c r="O356" t="s">
        <v>233</v>
      </c>
      <c r="P356">
        <v>77.84</v>
      </c>
      <c r="Q356">
        <v>4</v>
      </c>
      <c r="R356" t="s">
        <v>64</v>
      </c>
      <c r="S356" s="5">
        <v>20</v>
      </c>
      <c r="T356" s="3">
        <v>2</v>
      </c>
      <c r="U356" s="4" t="str">
        <f t="shared" si="48"/>
        <v>Late_Delivery</v>
      </c>
      <c r="V356">
        <v>59</v>
      </c>
      <c r="W356" s="3">
        <f t="shared" si="49"/>
        <v>6</v>
      </c>
      <c r="X356" s="2">
        <v>45485</v>
      </c>
      <c r="Y356" s="1">
        <f>YEAR(Table2[[#This Row],[Delivery_Date]])</f>
        <v>2024</v>
      </c>
      <c r="Z356" s="2" t="str">
        <f t="shared" si="50"/>
        <v>Jul</v>
      </c>
      <c r="AA356" t="s">
        <v>811</v>
      </c>
      <c r="AB356">
        <f t="shared" si="51"/>
        <v>308.08800000000002</v>
      </c>
      <c r="AC356">
        <f>Table2[[#This Row],[Price]]*Table2[[#This Row],[Quantity]]*Table2[[#This Row],[COUPON %]]/100</f>
        <v>62.272000000000006</v>
      </c>
      <c r="AD356">
        <f t="shared" si="52"/>
        <v>249.08800000000002</v>
      </c>
      <c r="AE356" s="1">
        <f t="shared" si="53"/>
        <v>311.36</v>
      </c>
    </row>
    <row r="357" spans="1:31" x14ac:dyDescent="0.25">
      <c r="A357" t="s">
        <v>138</v>
      </c>
      <c r="B357" t="str">
        <f t="shared" si="45"/>
        <v xml:space="preserve">Hannah Gutierrez </v>
      </c>
      <c r="C357" t="s">
        <v>137</v>
      </c>
      <c r="D357" t="s">
        <v>136</v>
      </c>
      <c r="E357">
        <v>55</v>
      </c>
      <c r="F357" t="str">
        <f t="shared" si="46"/>
        <v>&gt;45</v>
      </c>
      <c r="G357" t="s">
        <v>29</v>
      </c>
      <c r="H357" t="s">
        <v>40</v>
      </c>
      <c r="I357" t="s">
        <v>135</v>
      </c>
      <c r="J357" t="str">
        <f t="shared" si="47"/>
        <v>yahoo.com</v>
      </c>
      <c r="K357" t="s">
        <v>134</v>
      </c>
      <c r="L357" t="s">
        <v>810</v>
      </c>
      <c r="M357" s="2">
        <v>44982</v>
      </c>
      <c r="N357" t="s">
        <v>809</v>
      </c>
      <c r="O357" t="s">
        <v>245</v>
      </c>
      <c r="P357">
        <v>87.09</v>
      </c>
      <c r="Q357">
        <v>2</v>
      </c>
      <c r="R357" t="s">
        <v>93</v>
      </c>
      <c r="S357" s="5">
        <v>15</v>
      </c>
      <c r="T357" s="3">
        <v>3</v>
      </c>
      <c r="U357" s="4" t="str">
        <f t="shared" si="48"/>
        <v>Late_Delivery</v>
      </c>
      <c r="V357">
        <v>62</v>
      </c>
      <c r="W357" s="3">
        <f t="shared" si="49"/>
        <v>5</v>
      </c>
      <c r="X357" s="2">
        <v>44987</v>
      </c>
      <c r="Y357" s="1">
        <f>YEAR(Table2[[#This Row],[Delivery_Date]])</f>
        <v>2023</v>
      </c>
      <c r="Z357" s="2" t="str">
        <f t="shared" si="50"/>
        <v>Mar</v>
      </c>
      <c r="AA357" t="s">
        <v>808</v>
      </c>
      <c r="AB357">
        <f t="shared" si="51"/>
        <v>210.053</v>
      </c>
      <c r="AC357">
        <f>Table2[[#This Row],[Price]]*Table2[[#This Row],[Quantity]]*Table2[[#This Row],[COUPON %]]/100</f>
        <v>26.127000000000002</v>
      </c>
      <c r="AD357">
        <f t="shared" si="52"/>
        <v>148.053</v>
      </c>
      <c r="AE357" s="1">
        <f t="shared" si="53"/>
        <v>174.18</v>
      </c>
    </row>
    <row r="358" spans="1:31" x14ac:dyDescent="0.25">
      <c r="A358" t="s">
        <v>310</v>
      </c>
      <c r="B358" t="str">
        <f t="shared" si="45"/>
        <v xml:space="preserve">Jared Horn </v>
      </c>
      <c r="C358" t="s">
        <v>309</v>
      </c>
      <c r="D358" t="s">
        <v>308</v>
      </c>
      <c r="E358">
        <v>43</v>
      </c>
      <c r="F358" t="str">
        <f t="shared" si="46"/>
        <v>36-45</v>
      </c>
      <c r="G358" t="s">
        <v>108</v>
      </c>
      <c r="H358" t="s">
        <v>59</v>
      </c>
      <c r="I358" t="s">
        <v>307</v>
      </c>
      <c r="J358" t="str">
        <f t="shared" si="47"/>
        <v>outlook.com</v>
      </c>
      <c r="K358" t="s">
        <v>306</v>
      </c>
      <c r="L358" t="s">
        <v>807</v>
      </c>
      <c r="M358" s="2">
        <v>45397</v>
      </c>
      <c r="N358" t="s">
        <v>806</v>
      </c>
      <c r="O358" t="s">
        <v>466</v>
      </c>
      <c r="P358">
        <v>104.18</v>
      </c>
      <c r="Q358">
        <v>3</v>
      </c>
      <c r="R358" t="s">
        <v>166</v>
      </c>
      <c r="S358" s="5">
        <v>10</v>
      </c>
      <c r="T358" s="3">
        <v>6</v>
      </c>
      <c r="U358" s="4" t="str">
        <f t="shared" si="48"/>
        <v>Before_time</v>
      </c>
      <c r="V358">
        <v>60</v>
      </c>
      <c r="W358" s="3">
        <f t="shared" si="49"/>
        <v>1</v>
      </c>
      <c r="X358" s="2">
        <v>45398</v>
      </c>
      <c r="Y358" s="1">
        <f>YEAR(Table2[[#This Row],[Delivery_Date]])</f>
        <v>2024</v>
      </c>
      <c r="Z358" s="2" t="str">
        <f t="shared" si="50"/>
        <v>Apr</v>
      </c>
      <c r="AA358" t="s">
        <v>805</v>
      </c>
      <c r="AB358">
        <f t="shared" si="51"/>
        <v>341.286</v>
      </c>
      <c r="AC358">
        <f>Table2[[#This Row],[Price]]*Table2[[#This Row],[Quantity]]*Table2[[#This Row],[COUPON %]]/100</f>
        <v>31.254000000000001</v>
      </c>
      <c r="AD358">
        <f t="shared" si="52"/>
        <v>281.286</v>
      </c>
      <c r="AE358" s="1">
        <f t="shared" si="53"/>
        <v>312.54000000000002</v>
      </c>
    </row>
    <row r="359" spans="1:31" x14ac:dyDescent="0.25">
      <c r="A359" t="s">
        <v>319</v>
      </c>
      <c r="B359" t="str">
        <f t="shared" si="45"/>
        <v xml:space="preserve">Edward Black </v>
      </c>
      <c r="C359" t="s">
        <v>318</v>
      </c>
      <c r="D359" t="s">
        <v>317</v>
      </c>
      <c r="E359">
        <v>42</v>
      </c>
      <c r="F359" t="str">
        <f t="shared" si="46"/>
        <v>36-45</v>
      </c>
      <c r="G359" t="s">
        <v>108</v>
      </c>
      <c r="H359" t="s">
        <v>28</v>
      </c>
      <c r="I359" t="s">
        <v>316</v>
      </c>
      <c r="J359" t="str">
        <f t="shared" si="47"/>
        <v>gmail.com</v>
      </c>
      <c r="K359" t="s">
        <v>315</v>
      </c>
      <c r="L359" t="s">
        <v>804</v>
      </c>
      <c r="M359" s="2">
        <v>45474</v>
      </c>
      <c r="N359" t="s">
        <v>803</v>
      </c>
      <c r="O359" t="s">
        <v>123</v>
      </c>
      <c r="P359">
        <v>107.47</v>
      </c>
      <c r="Q359">
        <v>3</v>
      </c>
      <c r="R359" t="s">
        <v>1</v>
      </c>
      <c r="S359" s="5">
        <v>0</v>
      </c>
      <c r="T359" s="3">
        <v>4</v>
      </c>
      <c r="U359" s="4" t="str">
        <f t="shared" si="48"/>
        <v>Late_Delivery</v>
      </c>
      <c r="V359">
        <v>63</v>
      </c>
      <c r="W359" s="3">
        <f t="shared" si="49"/>
        <v>7</v>
      </c>
      <c r="X359" s="2">
        <v>45481</v>
      </c>
      <c r="Y359" s="1">
        <f>YEAR(Table2[[#This Row],[Delivery_Date]])</f>
        <v>2024</v>
      </c>
      <c r="Z359" s="2" t="str">
        <f t="shared" si="50"/>
        <v>Jul</v>
      </c>
      <c r="AA359" t="s">
        <v>802</v>
      </c>
      <c r="AB359">
        <f t="shared" si="51"/>
        <v>385.40999999999997</v>
      </c>
      <c r="AC359">
        <f>Table2[[#This Row],[Price]]*Table2[[#This Row],[Quantity]]*Table2[[#This Row],[COUPON %]]/100</f>
        <v>0</v>
      </c>
      <c r="AD359">
        <f t="shared" si="52"/>
        <v>322.40999999999997</v>
      </c>
      <c r="AE359" s="1">
        <f t="shared" si="53"/>
        <v>322.40999999999997</v>
      </c>
    </row>
    <row r="360" spans="1:31" x14ac:dyDescent="0.25">
      <c r="A360" t="s">
        <v>801</v>
      </c>
      <c r="B360" t="str">
        <f t="shared" si="45"/>
        <v xml:space="preserve">Mark Summers </v>
      </c>
      <c r="C360" t="s">
        <v>51</v>
      </c>
      <c r="D360" t="s">
        <v>800</v>
      </c>
      <c r="E360">
        <v>55</v>
      </c>
      <c r="F360" t="str">
        <f t="shared" si="46"/>
        <v>&gt;45</v>
      </c>
      <c r="G360" t="s">
        <v>29</v>
      </c>
      <c r="H360" t="s">
        <v>40</v>
      </c>
      <c r="I360" t="s">
        <v>799</v>
      </c>
      <c r="J360" t="str">
        <f t="shared" si="47"/>
        <v>outlook.com</v>
      </c>
      <c r="K360" t="s">
        <v>798</v>
      </c>
      <c r="L360" t="s">
        <v>797</v>
      </c>
      <c r="M360" s="2">
        <v>45045</v>
      </c>
      <c r="N360" t="s">
        <v>796</v>
      </c>
      <c r="O360" t="s">
        <v>131</v>
      </c>
      <c r="P360">
        <v>48.45</v>
      </c>
      <c r="Q360">
        <v>3</v>
      </c>
      <c r="R360" t="s">
        <v>1</v>
      </c>
      <c r="S360" s="5">
        <v>0</v>
      </c>
      <c r="T360" s="3">
        <v>6</v>
      </c>
      <c r="U360" s="4" t="str">
        <f t="shared" si="48"/>
        <v>Before_time</v>
      </c>
      <c r="V360">
        <v>58</v>
      </c>
      <c r="W360" s="3">
        <f t="shared" si="49"/>
        <v>1</v>
      </c>
      <c r="X360" s="2">
        <v>45046</v>
      </c>
      <c r="Y360" s="1">
        <f>YEAR(Table2[[#This Row],[Delivery_Date]])</f>
        <v>2023</v>
      </c>
      <c r="Z360" s="2" t="str">
        <f t="shared" si="50"/>
        <v>Apr</v>
      </c>
      <c r="AA360" t="s">
        <v>795</v>
      </c>
      <c r="AB360">
        <f t="shared" si="51"/>
        <v>203.35000000000002</v>
      </c>
      <c r="AC360">
        <f>Table2[[#This Row],[Price]]*Table2[[#This Row],[Quantity]]*Table2[[#This Row],[COUPON %]]/100</f>
        <v>0</v>
      </c>
      <c r="AD360">
        <f t="shared" si="52"/>
        <v>145.35000000000002</v>
      </c>
      <c r="AE360" s="1">
        <f t="shared" si="53"/>
        <v>145.35000000000002</v>
      </c>
    </row>
    <row r="361" spans="1:31" x14ac:dyDescent="0.25">
      <c r="A361" t="s">
        <v>613</v>
      </c>
      <c r="B361" t="str">
        <f t="shared" si="45"/>
        <v xml:space="preserve">Mary Knight </v>
      </c>
      <c r="C361" t="s">
        <v>612</v>
      </c>
      <c r="D361" t="s">
        <v>611</v>
      </c>
      <c r="E361">
        <v>28</v>
      </c>
      <c r="F361" t="str">
        <f t="shared" si="46"/>
        <v>26-35</v>
      </c>
      <c r="G361" t="s">
        <v>8</v>
      </c>
      <c r="H361" t="s">
        <v>28</v>
      </c>
      <c r="I361" t="s">
        <v>610</v>
      </c>
      <c r="J361" t="str">
        <f t="shared" si="47"/>
        <v>yahoo.com</v>
      </c>
      <c r="K361" t="s">
        <v>609</v>
      </c>
      <c r="L361" t="s">
        <v>794</v>
      </c>
      <c r="M361" s="2">
        <v>45600</v>
      </c>
      <c r="N361" t="s">
        <v>793</v>
      </c>
      <c r="O361" t="s">
        <v>343</v>
      </c>
      <c r="P361">
        <v>257.06</v>
      </c>
      <c r="Q361">
        <v>4</v>
      </c>
      <c r="R361" t="s">
        <v>166</v>
      </c>
      <c r="S361" s="5">
        <v>10</v>
      </c>
      <c r="T361" s="3">
        <v>6</v>
      </c>
      <c r="U361" s="4" t="str">
        <f t="shared" si="48"/>
        <v>Before_time</v>
      </c>
      <c r="V361">
        <v>69</v>
      </c>
      <c r="W361" s="3">
        <f t="shared" si="49"/>
        <v>3</v>
      </c>
      <c r="X361" s="2">
        <v>45603</v>
      </c>
      <c r="Y361" s="1">
        <f>YEAR(Table2[[#This Row],[Delivery_Date]])</f>
        <v>2024</v>
      </c>
      <c r="Z361" s="2" t="str">
        <f t="shared" si="50"/>
        <v>Nov</v>
      </c>
      <c r="AA361" t="s">
        <v>792</v>
      </c>
      <c r="AB361">
        <f t="shared" si="51"/>
        <v>994.41600000000005</v>
      </c>
      <c r="AC361">
        <f>Table2[[#This Row],[Price]]*Table2[[#This Row],[Quantity]]*Table2[[#This Row],[COUPON %]]/100</f>
        <v>102.824</v>
      </c>
      <c r="AD361">
        <f t="shared" si="52"/>
        <v>925.41600000000005</v>
      </c>
      <c r="AE361" s="1">
        <f t="shared" si="53"/>
        <v>1028.24</v>
      </c>
    </row>
    <row r="362" spans="1:31" x14ac:dyDescent="0.25">
      <c r="A362" t="s">
        <v>433</v>
      </c>
      <c r="B362" t="str">
        <f t="shared" si="45"/>
        <v xml:space="preserve">Jodi Whitney </v>
      </c>
      <c r="C362" t="s">
        <v>432</v>
      </c>
      <c r="D362" t="s">
        <v>431</v>
      </c>
      <c r="E362">
        <v>33</v>
      </c>
      <c r="F362" t="str">
        <f t="shared" si="46"/>
        <v>26-35</v>
      </c>
      <c r="G362" t="s">
        <v>8</v>
      </c>
      <c r="H362" t="s">
        <v>79</v>
      </c>
      <c r="I362" t="s">
        <v>430</v>
      </c>
      <c r="J362" t="str">
        <f t="shared" si="47"/>
        <v>yahoo.com</v>
      </c>
      <c r="K362" t="s">
        <v>429</v>
      </c>
      <c r="L362" t="s">
        <v>791</v>
      </c>
      <c r="M362" s="2">
        <v>45553</v>
      </c>
      <c r="N362" t="s">
        <v>790</v>
      </c>
      <c r="O362" t="s">
        <v>273</v>
      </c>
      <c r="P362">
        <v>403.03</v>
      </c>
      <c r="Q362">
        <v>4</v>
      </c>
      <c r="R362" t="s">
        <v>166</v>
      </c>
      <c r="S362" s="5">
        <v>10</v>
      </c>
      <c r="T362" s="3">
        <v>7</v>
      </c>
      <c r="U362" s="4" t="str">
        <f t="shared" si="48"/>
        <v>Before_time</v>
      </c>
      <c r="V362">
        <v>65</v>
      </c>
      <c r="W362" s="3">
        <f t="shared" si="49"/>
        <v>3</v>
      </c>
      <c r="X362" s="2">
        <v>45556</v>
      </c>
      <c r="Y362" s="1">
        <f>YEAR(Table2[[#This Row],[Delivery_Date]])</f>
        <v>2024</v>
      </c>
      <c r="Z362" s="2" t="str">
        <f t="shared" si="50"/>
        <v>Sep</v>
      </c>
      <c r="AA362" t="s">
        <v>789</v>
      </c>
      <c r="AB362">
        <f t="shared" si="51"/>
        <v>1515.9079999999999</v>
      </c>
      <c r="AC362">
        <f>Table2[[#This Row],[Price]]*Table2[[#This Row],[Quantity]]*Table2[[#This Row],[COUPON %]]/100</f>
        <v>161.21199999999999</v>
      </c>
      <c r="AD362">
        <f t="shared" si="52"/>
        <v>1450.9079999999999</v>
      </c>
      <c r="AE362" s="1">
        <f t="shared" si="53"/>
        <v>1612.12</v>
      </c>
    </row>
    <row r="363" spans="1:31" x14ac:dyDescent="0.25">
      <c r="A363" t="s">
        <v>651</v>
      </c>
      <c r="B363" t="str">
        <f t="shared" si="45"/>
        <v xml:space="preserve">Christy Chang </v>
      </c>
      <c r="C363" t="s">
        <v>650</v>
      </c>
      <c r="D363" t="s">
        <v>649</v>
      </c>
      <c r="E363">
        <v>38</v>
      </c>
      <c r="F363" t="str">
        <f t="shared" si="46"/>
        <v>36-45</v>
      </c>
      <c r="G363" t="s">
        <v>29</v>
      </c>
      <c r="H363" t="s">
        <v>18</v>
      </c>
      <c r="I363" t="s">
        <v>648</v>
      </c>
      <c r="J363" t="str">
        <f t="shared" si="47"/>
        <v>outlook.com</v>
      </c>
      <c r="K363" t="s">
        <v>647</v>
      </c>
      <c r="L363" t="s">
        <v>788</v>
      </c>
      <c r="M363" s="2">
        <v>45059</v>
      </c>
      <c r="N363" t="s">
        <v>787</v>
      </c>
      <c r="O363" t="s">
        <v>131</v>
      </c>
      <c r="P363">
        <v>48.45</v>
      </c>
      <c r="Q363">
        <v>1</v>
      </c>
      <c r="R363" t="s">
        <v>166</v>
      </c>
      <c r="S363" s="5">
        <v>10</v>
      </c>
      <c r="T363" s="3">
        <v>2</v>
      </c>
      <c r="U363" s="4" t="str">
        <f t="shared" si="48"/>
        <v>Late_Delivery</v>
      </c>
      <c r="V363">
        <v>41</v>
      </c>
      <c r="W363" s="3">
        <f t="shared" si="49"/>
        <v>3</v>
      </c>
      <c r="X363" s="2">
        <v>45062</v>
      </c>
      <c r="Y363" s="1">
        <f>YEAR(Table2[[#This Row],[Delivery_Date]])</f>
        <v>2023</v>
      </c>
      <c r="Z363" s="2" t="str">
        <f t="shared" si="50"/>
        <v>May</v>
      </c>
      <c r="AA363" t="s">
        <v>786</v>
      </c>
      <c r="AB363">
        <f t="shared" si="51"/>
        <v>84.605000000000004</v>
      </c>
      <c r="AC363">
        <f>Table2[[#This Row],[Price]]*Table2[[#This Row],[Quantity]]*Table2[[#This Row],[COUPON %]]/100</f>
        <v>4.8449999999999998</v>
      </c>
      <c r="AD363">
        <f t="shared" si="52"/>
        <v>43.605000000000004</v>
      </c>
      <c r="AE363" s="1">
        <f t="shared" si="53"/>
        <v>48.45</v>
      </c>
    </row>
    <row r="364" spans="1:31" x14ac:dyDescent="0.25">
      <c r="A364" t="s">
        <v>464</v>
      </c>
      <c r="B364" t="str">
        <f t="shared" si="45"/>
        <v xml:space="preserve">Troy Gomez </v>
      </c>
      <c r="C364" t="s">
        <v>463</v>
      </c>
      <c r="D364" t="s">
        <v>462</v>
      </c>
      <c r="E364">
        <v>68</v>
      </c>
      <c r="F364" t="str">
        <f t="shared" si="46"/>
        <v>&gt;45</v>
      </c>
      <c r="G364" t="s">
        <v>108</v>
      </c>
      <c r="H364" t="s">
        <v>18</v>
      </c>
      <c r="I364" t="s">
        <v>461</v>
      </c>
      <c r="J364" t="str">
        <f t="shared" si="47"/>
        <v>outlook.com</v>
      </c>
      <c r="K364" t="s">
        <v>460</v>
      </c>
      <c r="L364" t="s">
        <v>785</v>
      </c>
      <c r="M364" s="2">
        <v>45007</v>
      </c>
      <c r="N364" t="s">
        <v>784</v>
      </c>
      <c r="O364" t="s">
        <v>2</v>
      </c>
      <c r="P364">
        <v>44.5</v>
      </c>
      <c r="Q364">
        <v>5</v>
      </c>
      <c r="R364" t="s">
        <v>166</v>
      </c>
      <c r="S364" s="5">
        <v>10</v>
      </c>
      <c r="T364" s="3">
        <v>4</v>
      </c>
      <c r="U364" s="4" t="str">
        <f t="shared" si="48"/>
        <v>Late_Delivery</v>
      </c>
      <c r="V364">
        <v>55</v>
      </c>
      <c r="W364" s="3">
        <f t="shared" si="49"/>
        <v>5</v>
      </c>
      <c r="X364" s="2">
        <v>45012</v>
      </c>
      <c r="Y364" s="1">
        <f>YEAR(Table2[[#This Row],[Delivery_Date]])</f>
        <v>2023</v>
      </c>
      <c r="Z364" s="2" t="str">
        <f t="shared" si="50"/>
        <v>Mar</v>
      </c>
      <c r="AA364" t="s">
        <v>783</v>
      </c>
      <c r="AB364">
        <f t="shared" si="51"/>
        <v>255.25</v>
      </c>
      <c r="AC364">
        <f>Table2[[#This Row],[Price]]*Table2[[#This Row],[Quantity]]*Table2[[#This Row],[COUPON %]]/100</f>
        <v>22.25</v>
      </c>
      <c r="AD364">
        <f t="shared" si="52"/>
        <v>200.25</v>
      </c>
      <c r="AE364" s="1">
        <f t="shared" si="53"/>
        <v>222.5</v>
      </c>
    </row>
    <row r="365" spans="1:31" x14ac:dyDescent="0.25">
      <c r="A365" t="s">
        <v>255</v>
      </c>
      <c r="B365" t="str">
        <f t="shared" si="45"/>
        <v xml:space="preserve">Lauren Crane </v>
      </c>
      <c r="C365" t="s">
        <v>254</v>
      </c>
      <c r="D365" t="s">
        <v>253</v>
      </c>
      <c r="E365">
        <v>62</v>
      </c>
      <c r="F365" t="str">
        <f t="shared" si="46"/>
        <v>&gt;45</v>
      </c>
      <c r="G365" t="s">
        <v>29</v>
      </c>
      <c r="H365" t="s">
        <v>7</v>
      </c>
      <c r="I365" t="s">
        <v>252</v>
      </c>
      <c r="J365" t="str">
        <f t="shared" si="47"/>
        <v>yahoo.com</v>
      </c>
      <c r="K365" t="s">
        <v>251</v>
      </c>
      <c r="L365" t="s">
        <v>782</v>
      </c>
      <c r="M365" s="2">
        <v>45678</v>
      </c>
      <c r="N365" t="s">
        <v>781</v>
      </c>
      <c r="O365" t="s">
        <v>35</v>
      </c>
      <c r="P365">
        <v>128.13999999999999</v>
      </c>
      <c r="Q365">
        <v>5</v>
      </c>
      <c r="R365" t="s">
        <v>64</v>
      </c>
      <c r="S365" s="5">
        <v>20</v>
      </c>
      <c r="T365" s="3">
        <v>7</v>
      </c>
      <c r="U365" s="4" t="str">
        <f t="shared" si="48"/>
        <v>On_time</v>
      </c>
      <c r="V365">
        <v>68</v>
      </c>
      <c r="W365" s="3">
        <f t="shared" si="49"/>
        <v>7</v>
      </c>
      <c r="X365" s="2">
        <v>45685</v>
      </c>
      <c r="Y365" s="1">
        <f>YEAR(Table2[[#This Row],[Delivery_Date]])</f>
        <v>2025</v>
      </c>
      <c r="Z365" s="2" t="str">
        <f t="shared" si="50"/>
        <v>Jan</v>
      </c>
      <c r="AA365" t="s">
        <v>780</v>
      </c>
      <c r="AB365">
        <f t="shared" si="51"/>
        <v>580.55999999999995</v>
      </c>
      <c r="AC365">
        <f>Table2[[#This Row],[Price]]*Table2[[#This Row],[Quantity]]*Table2[[#This Row],[COUPON %]]/100</f>
        <v>128.13999999999999</v>
      </c>
      <c r="AD365">
        <f t="shared" si="52"/>
        <v>512.55999999999995</v>
      </c>
      <c r="AE365" s="1">
        <f t="shared" si="53"/>
        <v>640.69999999999993</v>
      </c>
    </row>
    <row r="366" spans="1:31" x14ac:dyDescent="0.25">
      <c r="A366" t="s">
        <v>492</v>
      </c>
      <c r="B366" t="str">
        <f t="shared" si="45"/>
        <v xml:space="preserve">Barbara Fuller </v>
      </c>
      <c r="C366" t="s">
        <v>491</v>
      </c>
      <c r="D366" t="s">
        <v>490</v>
      </c>
      <c r="E366">
        <v>43</v>
      </c>
      <c r="F366" t="str">
        <f t="shared" si="46"/>
        <v>36-45</v>
      </c>
      <c r="G366" t="s">
        <v>8</v>
      </c>
      <c r="H366" t="s">
        <v>40</v>
      </c>
      <c r="I366" t="s">
        <v>489</v>
      </c>
      <c r="J366" t="str">
        <f t="shared" si="47"/>
        <v>rediffmail.com</v>
      </c>
      <c r="K366" t="s">
        <v>488</v>
      </c>
      <c r="L366" t="s">
        <v>779</v>
      </c>
      <c r="M366" s="2">
        <v>44978</v>
      </c>
      <c r="N366" t="s">
        <v>778</v>
      </c>
      <c r="O366" t="s">
        <v>426</v>
      </c>
      <c r="P366">
        <v>369.03</v>
      </c>
      <c r="Q366">
        <v>2</v>
      </c>
      <c r="R366" t="s">
        <v>166</v>
      </c>
      <c r="S366" s="5">
        <v>10</v>
      </c>
      <c r="T366" s="3">
        <v>6</v>
      </c>
      <c r="U366" s="4" t="str">
        <f t="shared" si="48"/>
        <v>Before_time</v>
      </c>
      <c r="V366">
        <v>55</v>
      </c>
      <c r="W366" s="3">
        <f t="shared" si="49"/>
        <v>3</v>
      </c>
      <c r="X366" s="2">
        <v>44981</v>
      </c>
      <c r="Y366" s="1">
        <f>YEAR(Table2[[#This Row],[Delivery_Date]])</f>
        <v>2023</v>
      </c>
      <c r="Z366" s="2" t="str">
        <f t="shared" si="50"/>
        <v>Feb</v>
      </c>
      <c r="AA366" t="s">
        <v>777</v>
      </c>
      <c r="AB366">
        <f t="shared" si="51"/>
        <v>719.25400000000002</v>
      </c>
      <c r="AC366">
        <f>Table2[[#This Row],[Price]]*Table2[[#This Row],[Quantity]]*Table2[[#This Row],[COUPON %]]/100</f>
        <v>73.805999999999997</v>
      </c>
      <c r="AD366">
        <f t="shared" si="52"/>
        <v>664.25400000000002</v>
      </c>
      <c r="AE366" s="1">
        <f t="shared" si="53"/>
        <v>738.06</v>
      </c>
    </row>
    <row r="367" spans="1:31" x14ac:dyDescent="0.25">
      <c r="A367" t="s">
        <v>138</v>
      </c>
      <c r="B367" t="str">
        <f t="shared" si="45"/>
        <v xml:space="preserve">Hannah Gutierrez </v>
      </c>
      <c r="C367" t="s">
        <v>137</v>
      </c>
      <c r="D367" t="s">
        <v>136</v>
      </c>
      <c r="E367">
        <v>55</v>
      </c>
      <c r="F367" t="str">
        <f t="shared" si="46"/>
        <v>&gt;45</v>
      </c>
      <c r="G367" t="s">
        <v>29</v>
      </c>
      <c r="H367" t="s">
        <v>40</v>
      </c>
      <c r="I367" t="s">
        <v>135</v>
      </c>
      <c r="J367" t="str">
        <f t="shared" si="47"/>
        <v>yahoo.com</v>
      </c>
      <c r="K367" t="s">
        <v>134</v>
      </c>
      <c r="L367" t="s">
        <v>776</v>
      </c>
      <c r="M367" s="2">
        <v>45421</v>
      </c>
      <c r="N367" t="s">
        <v>775</v>
      </c>
      <c r="O367" t="s">
        <v>343</v>
      </c>
      <c r="P367">
        <v>257.06</v>
      </c>
      <c r="Q367">
        <v>1</v>
      </c>
      <c r="R367" t="s">
        <v>64</v>
      </c>
      <c r="S367" s="5">
        <v>20</v>
      </c>
      <c r="T367" s="3">
        <v>4</v>
      </c>
      <c r="U367" s="4" t="str">
        <f t="shared" si="48"/>
        <v>Before_time</v>
      </c>
      <c r="V367">
        <v>42</v>
      </c>
      <c r="W367" s="3">
        <f t="shared" si="49"/>
        <v>2</v>
      </c>
      <c r="X367" s="2">
        <v>45423</v>
      </c>
      <c r="Y367" s="1">
        <f>YEAR(Table2[[#This Row],[Delivery_Date]])</f>
        <v>2024</v>
      </c>
      <c r="Z367" s="2" t="str">
        <f t="shared" si="50"/>
        <v>May</v>
      </c>
      <c r="AA367" t="s">
        <v>774</v>
      </c>
      <c r="AB367">
        <f t="shared" si="51"/>
        <v>247.64800000000002</v>
      </c>
      <c r="AC367">
        <f>Table2[[#This Row],[Price]]*Table2[[#This Row],[Quantity]]*Table2[[#This Row],[COUPON %]]/100</f>
        <v>51.411999999999999</v>
      </c>
      <c r="AD367">
        <f t="shared" si="52"/>
        <v>205.64800000000002</v>
      </c>
      <c r="AE367" s="1">
        <f t="shared" si="53"/>
        <v>257.06</v>
      </c>
    </row>
    <row r="368" spans="1:31" x14ac:dyDescent="0.25">
      <c r="A368" t="s">
        <v>188</v>
      </c>
      <c r="B368" t="str">
        <f t="shared" si="45"/>
        <v xml:space="preserve">Deborah Bates </v>
      </c>
      <c r="C368" t="s">
        <v>187</v>
      </c>
      <c r="D368" t="s">
        <v>186</v>
      </c>
      <c r="E368">
        <v>23</v>
      </c>
      <c r="F368" t="str">
        <f t="shared" si="46"/>
        <v>0-25</v>
      </c>
      <c r="G368" t="s">
        <v>108</v>
      </c>
      <c r="H368" t="s">
        <v>118</v>
      </c>
      <c r="I368" t="s">
        <v>185</v>
      </c>
      <c r="J368" t="str">
        <f t="shared" si="47"/>
        <v>yahoo.com</v>
      </c>
      <c r="K368" t="s">
        <v>184</v>
      </c>
      <c r="L368" t="s">
        <v>773</v>
      </c>
      <c r="M368" s="2">
        <v>45225</v>
      </c>
      <c r="N368" t="s">
        <v>772</v>
      </c>
      <c r="O368" t="s">
        <v>600</v>
      </c>
      <c r="P368">
        <v>292.14999999999998</v>
      </c>
      <c r="Q368">
        <v>3</v>
      </c>
      <c r="R368" t="s">
        <v>1</v>
      </c>
      <c r="S368" s="5">
        <v>0</v>
      </c>
      <c r="T368" s="3">
        <v>3</v>
      </c>
      <c r="U368" s="4" t="str">
        <f t="shared" si="48"/>
        <v>Before_time</v>
      </c>
      <c r="V368">
        <v>51</v>
      </c>
      <c r="W368" s="3">
        <f t="shared" si="49"/>
        <v>2</v>
      </c>
      <c r="X368" s="2">
        <v>45227</v>
      </c>
      <c r="Y368" s="1">
        <f>YEAR(Table2[[#This Row],[Delivery_Date]])</f>
        <v>2023</v>
      </c>
      <c r="Z368" s="2" t="str">
        <f t="shared" si="50"/>
        <v>Oct</v>
      </c>
      <c r="AA368" t="s">
        <v>771</v>
      </c>
      <c r="AB368">
        <f t="shared" si="51"/>
        <v>927.44999999999993</v>
      </c>
      <c r="AC368">
        <f>Table2[[#This Row],[Price]]*Table2[[#This Row],[Quantity]]*Table2[[#This Row],[COUPON %]]/100</f>
        <v>0</v>
      </c>
      <c r="AD368">
        <f t="shared" si="52"/>
        <v>876.44999999999993</v>
      </c>
      <c r="AE368" s="1">
        <f t="shared" si="53"/>
        <v>876.44999999999993</v>
      </c>
    </row>
    <row r="369" spans="1:31" x14ac:dyDescent="0.25">
      <c r="A369" t="s">
        <v>421</v>
      </c>
      <c r="B369" t="str">
        <f t="shared" si="45"/>
        <v xml:space="preserve">Angela Casey </v>
      </c>
      <c r="C369" t="s">
        <v>10</v>
      </c>
      <c r="D369" t="s">
        <v>420</v>
      </c>
      <c r="E369">
        <v>40</v>
      </c>
      <c r="F369" t="str">
        <f t="shared" si="46"/>
        <v>36-45</v>
      </c>
      <c r="G369" t="s">
        <v>108</v>
      </c>
      <c r="H369" t="s">
        <v>28</v>
      </c>
      <c r="I369" t="s">
        <v>419</v>
      </c>
      <c r="J369" t="str">
        <f t="shared" si="47"/>
        <v>gmail.com</v>
      </c>
      <c r="K369" t="s">
        <v>418</v>
      </c>
      <c r="L369" t="s">
        <v>770</v>
      </c>
      <c r="M369" s="2">
        <v>45193</v>
      </c>
      <c r="N369" t="s">
        <v>769</v>
      </c>
      <c r="O369" t="s">
        <v>615</v>
      </c>
      <c r="P369">
        <v>282.63</v>
      </c>
      <c r="Q369">
        <v>2</v>
      </c>
      <c r="R369" t="s">
        <v>93</v>
      </c>
      <c r="S369" s="5">
        <v>15</v>
      </c>
      <c r="T369" s="3">
        <v>6</v>
      </c>
      <c r="U369" s="4" t="str">
        <f t="shared" si="48"/>
        <v>Before_time</v>
      </c>
      <c r="V369">
        <v>62</v>
      </c>
      <c r="W369" s="3">
        <f t="shared" si="49"/>
        <v>1</v>
      </c>
      <c r="X369" s="2">
        <v>45194</v>
      </c>
      <c r="Y369" s="1">
        <f>YEAR(Table2[[#This Row],[Delivery_Date]])</f>
        <v>2023</v>
      </c>
      <c r="Z369" s="2" t="str">
        <f t="shared" si="50"/>
        <v>Sep</v>
      </c>
      <c r="AA369" t="s">
        <v>768</v>
      </c>
      <c r="AB369">
        <f t="shared" si="51"/>
        <v>542.471</v>
      </c>
      <c r="AC369">
        <f>Table2[[#This Row],[Price]]*Table2[[#This Row],[Quantity]]*Table2[[#This Row],[COUPON %]]/100</f>
        <v>84.789000000000001</v>
      </c>
      <c r="AD369">
        <f t="shared" si="52"/>
        <v>480.471</v>
      </c>
      <c r="AE369" s="1">
        <f t="shared" si="53"/>
        <v>565.26</v>
      </c>
    </row>
    <row r="370" spans="1:31" x14ac:dyDescent="0.25">
      <c r="A370" t="s">
        <v>297</v>
      </c>
      <c r="B370" t="str">
        <f t="shared" si="45"/>
        <v xml:space="preserve">Erin Miller </v>
      </c>
      <c r="C370" t="s">
        <v>296</v>
      </c>
      <c r="D370" t="s">
        <v>295</v>
      </c>
      <c r="E370">
        <v>46</v>
      </c>
      <c r="F370" t="str">
        <f t="shared" si="46"/>
        <v>&gt;45</v>
      </c>
      <c r="G370" t="s">
        <v>108</v>
      </c>
      <c r="H370" t="s">
        <v>79</v>
      </c>
      <c r="I370" t="s">
        <v>294</v>
      </c>
      <c r="J370" t="str">
        <f t="shared" si="47"/>
        <v>gmail.com</v>
      </c>
      <c r="K370" t="s">
        <v>293</v>
      </c>
      <c r="L370" t="s">
        <v>767</v>
      </c>
      <c r="M370" s="2">
        <v>45473</v>
      </c>
      <c r="N370" t="s">
        <v>766</v>
      </c>
      <c r="O370" t="s">
        <v>23</v>
      </c>
      <c r="P370">
        <v>272.51</v>
      </c>
      <c r="Q370">
        <v>3</v>
      </c>
      <c r="R370" t="s">
        <v>34</v>
      </c>
      <c r="S370" s="5">
        <v>8</v>
      </c>
      <c r="T370" s="3">
        <v>5</v>
      </c>
      <c r="U370" s="4" t="str">
        <f t="shared" si="48"/>
        <v>Late_Delivery</v>
      </c>
      <c r="V370">
        <v>66</v>
      </c>
      <c r="W370" s="3">
        <f t="shared" si="49"/>
        <v>6</v>
      </c>
      <c r="X370" s="2">
        <v>45479</v>
      </c>
      <c r="Y370" s="1">
        <f>YEAR(Table2[[#This Row],[Delivery_Date]])</f>
        <v>2024</v>
      </c>
      <c r="Z370" s="2" t="str">
        <f t="shared" si="50"/>
        <v>Jul</v>
      </c>
      <c r="AA370" t="s">
        <v>765</v>
      </c>
      <c r="AB370">
        <f t="shared" si="51"/>
        <v>818.12760000000003</v>
      </c>
      <c r="AC370">
        <f>Table2[[#This Row],[Price]]*Table2[[#This Row],[Quantity]]*Table2[[#This Row],[COUPON %]]/100</f>
        <v>65.4024</v>
      </c>
      <c r="AD370">
        <f t="shared" si="52"/>
        <v>752.12760000000003</v>
      </c>
      <c r="AE370" s="1">
        <f t="shared" si="53"/>
        <v>817.53</v>
      </c>
    </row>
    <row r="371" spans="1:31" x14ac:dyDescent="0.25">
      <c r="A371" t="s">
        <v>21</v>
      </c>
      <c r="B371" t="str">
        <f t="shared" si="45"/>
        <v xml:space="preserve">Amanda Howard </v>
      </c>
      <c r="C371" t="s">
        <v>20</v>
      </c>
      <c r="D371" t="s">
        <v>19</v>
      </c>
      <c r="E371">
        <v>52</v>
      </c>
      <c r="F371" t="str">
        <f t="shared" si="46"/>
        <v>&gt;45</v>
      </c>
      <c r="G371" t="s">
        <v>8</v>
      </c>
      <c r="H371" t="s">
        <v>18</v>
      </c>
      <c r="I371" t="s">
        <v>17</v>
      </c>
      <c r="J371" t="str">
        <f t="shared" si="47"/>
        <v>outlook.com</v>
      </c>
      <c r="K371" t="s">
        <v>16</v>
      </c>
      <c r="L371" t="s">
        <v>764</v>
      </c>
      <c r="M371" s="2">
        <v>44975</v>
      </c>
      <c r="N371" t="s">
        <v>763</v>
      </c>
      <c r="O371" t="s">
        <v>361</v>
      </c>
      <c r="P371">
        <v>330.11</v>
      </c>
      <c r="Q371">
        <v>2</v>
      </c>
      <c r="R371" t="s">
        <v>1</v>
      </c>
      <c r="S371" s="5">
        <v>0</v>
      </c>
      <c r="T371" s="3">
        <v>3</v>
      </c>
      <c r="U371" s="4" t="str">
        <f t="shared" si="48"/>
        <v>Before_time</v>
      </c>
      <c r="V371">
        <v>55</v>
      </c>
      <c r="W371" s="3">
        <f t="shared" si="49"/>
        <v>1</v>
      </c>
      <c r="X371" s="2">
        <v>44976</v>
      </c>
      <c r="Y371" s="1">
        <f>YEAR(Table2[[#This Row],[Delivery_Date]])</f>
        <v>2023</v>
      </c>
      <c r="Z371" s="2" t="str">
        <f t="shared" si="50"/>
        <v>Feb</v>
      </c>
      <c r="AA371" t="s">
        <v>762</v>
      </c>
      <c r="AB371">
        <f t="shared" si="51"/>
        <v>715.22</v>
      </c>
      <c r="AC371">
        <f>Table2[[#This Row],[Price]]*Table2[[#This Row],[Quantity]]*Table2[[#This Row],[COUPON %]]/100</f>
        <v>0</v>
      </c>
      <c r="AD371">
        <f t="shared" si="52"/>
        <v>660.22</v>
      </c>
      <c r="AE371" s="1">
        <f t="shared" si="53"/>
        <v>660.22</v>
      </c>
    </row>
    <row r="372" spans="1:31" x14ac:dyDescent="0.25">
      <c r="A372" t="s">
        <v>761</v>
      </c>
      <c r="B372" t="str">
        <f t="shared" si="45"/>
        <v xml:space="preserve">Joshua Campbell </v>
      </c>
      <c r="C372" t="s">
        <v>760</v>
      </c>
      <c r="D372" t="s">
        <v>759</v>
      </c>
      <c r="E372">
        <v>24</v>
      </c>
      <c r="F372" t="str">
        <f t="shared" si="46"/>
        <v>0-25</v>
      </c>
      <c r="G372" t="s">
        <v>108</v>
      </c>
      <c r="H372" t="s">
        <v>40</v>
      </c>
      <c r="I372" t="s">
        <v>758</v>
      </c>
      <c r="J372" t="str">
        <f t="shared" si="47"/>
        <v>gmail.com</v>
      </c>
      <c r="K372" t="s">
        <v>757</v>
      </c>
      <c r="L372" t="s">
        <v>756</v>
      </c>
      <c r="M372" s="2">
        <v>45485</v>
      </c>
      <c r="N372" t="s">
        <v>755</v>
      </c>
      <c r="O372" t="s">
        <v>224</v>
      </c>
      <c r="P372">
        <v>132.97</v>
      </c>
      <c r="Q372">
        <v>2</v>
      </c>
      <c r="R372" t="s">
        <v>93</v>
      </c>
      <c r="S372" s="5">
        <v>15</v>
      </c>
      <c r="T372" s="3">
        <v>4</v>
      </c>
      <c r="U372" s="4" t="str">
        <f t="shared" si="48"/>
        <v>Before_time</v>
      </c>
      <c r="V372">
        <v>40</v>
      </c>
      <c r="W372" s="3">
        <f t="shared" si="49"/>
        <v>2</v>
      </c>
      <c r="X372" s="2">
        <v>45487</v>
      </c>
      <c r="Y372" s="1">
        <f>YEAR(Table2[[#This Row],[Delivery_Date]])</f>
        <v>2024</v>
      </c>
      <c r="Z372" s="2" t="str">
        <f t="shared" si="50"/>
        <v>Jul</v>
      </c>
      <c r="AA372" t="s">
        <v>754</v>
      </c>
      <c r="AB372">
        <f t="shared" si="51"/>
        <v>266.04899999999998</v>
      </c>
      <c r="AC372">
        <f>Table2[[#This Row],[Price]]*Table2[[#This Row],[Quantity]]*Table2[[#This Row],[COUPON %]]/100</f>
        <v>39.890999999999998</v>
      </c>
      <c r="AD372">
        <f t="shared" si="52"/>
        <v>226.04899999999998</v>
      </c>
      <c r="AE372" s="1">
        <f t="shared" si="53"/>
        <v>265.94</v>
      </c>
    </row>
    <row r="373" spans="1:31" x14ac:dyDescent="0.25">
      <c r="A373" t="s">
        <v>753</v>
      </c>
      <c r="B373" t="str">
        <f t="shared" si="45"/>
        <v xml:space="preserve">Brandon Cruz </v>
      </c>
      <c r="C373" t="s">
        <v>752</v>
      </c>
      <c r="D373" t="s">
        <v>751</v>
      </c>
      <c r="E373">
        <v>32</v>
      </c>
      <c r="F373" t="str">
        <f t="shared" si="46"/>
        <v>26-35</v>
      </c>
      <c r="G373" t="s">
        <v>8</v>
      </c>
      <c r="H373" t="s">
        <v>118</v>
      </c>
      <c r="I373" t="s">
        <v>750</v>
      </c>
      <c r="J373" t="str">
        <f t="shared" si="47"/>
        <v>gmail.com</v>
      </c>
      <c r="K373" t="s">
        <v>749</v>
      </c>
      <c r="L373" t="s">
        <v>748</v>
      </c>
      <c r="M373" s="2">
        <v>45006</v>
      </c>
      <c r="N373" t="s">
        <v>747</v>
      </c>
      <c r="O373" t="s">
        <v>245</v>
      </c>
      <c r="P373">
        <v>87.09</v>
      </c>
      <c r="Q373">
        <v>2</v>
      </c>
      <c r="R373" t="s">
        <v>1</v>
      </c>
      <c r="S373" s="5">
        <v>0</v>
      </c>
      <c r="T373" s="3">
        <v>4</v>
      </c>
      <c r="U373" s="4" t="str">
        <f t="shared" si="48"/>
        <v>On_time</v>
      </c>
      <c r="V373">
        <v>67</v>
      </c>
      <c r="W373" s="3">
        <f t="shared" si="49"/>
        <v>4</v>
      </c>
      <c r="X373" s="2">
        <v>45010</v>
      </c>
      <c r="Y373" s="1">
        <f>YEAR(Table2[[#This Row],[Delivery_Date]])</f>
        <v>2023</v>
      </c>
      <c r="Z373" s="2" t="str">
        <f t="shared" si="50"/>
        <v>Mar</v>
      </c>
      <c r="AA373" t="s">
        <v>746</v>
      </c>
      <c r="AB373">
        <f t="shared" si="51"/>
        <v>241.18</v>
      </c>
      <c r="AC373">
        <f>Table2[[#This Row],[Price]]*Table2[[#This Row],[Quantity]]*Table2[[#This Row],[COUPON %]]/100</f>
        <v>0</v>
      </c>
      <c r="AD373">
        <f t="shared" si="52"/>
        <v>174.18</v>
      </c>
      <c r="AE373" s="1">
        <f t="shared" si="53"/>
        <v>174.18</v>
      </c>
    </row>
    <row r="374" spans="1:31" x14ac:dyDescent="0.25">
      <c r="A374" t="s">
        <v>745</v>
      </c>
      <c r="B374" t="str">
        <f t="shared" si="45"/>
        <v xml:space="preserve">Julie Meyer </v>
      </c>
      <c r="C374" t="s">
        <v>744</v>
      </c>
      <c r="D374" t="s">
        <v>743</v>
      </c>
      <c r="E374">
        <v>23</v>
      </c>
      <c r="F374" t="str">
        <f t="shared" si="46"/>
        <v>0-25</v>
      </c>
      <c r="G374" t="s">
        <v>108</v>
      </c>
      <c r="H374" t="s">
        <v>107</v>
      </c>
      <c r="I374" t="s">
        <v>742</v>
      </c>
      <c r="J374" t="str">
        <f t="shared" si="47"/>
        <v>yahoo.com</v>
      </c>
      <c r="K374" t="s">
        <v>741</v>
      </c>
      <c r="L374" t="s">
        <v>740</v>
      </c>
      <c r="M374" s="2">
        <v>45622</v>
      </c>
      <c r="N374" t="s">
        <v>739</v>
      </c>
      <c r="O374" t="s">
        <v>123</v>
      </c>
      <c r="P374">
        <v>107.47</v>
      </c>
      <c r="Q374">
        <v>5</v>
      </c>
      <c r="R374" t="s">
        <v>34</v>
      </c>
      <c r="S374" s="5">
        <v>8</v>
      </c>
      <c r="T374" s="3">
        <v>4</v>
      </c>
      <c r="U374" s="4" t="str">
        <f t="shared" si="48"/>
        <v>Late_Delivery</v>
      </c>
      <c r="V374">
        <v>37</v>
      </c>
      <c r="W374" s="3">
        <f t="shared" si="49"/>
        <v>6</v>
      </c>
      <c r="X374" s="2">
        <v>45628</v>
      </c>
      <c r="Y374" s="1">
        <f>YEAR(Table2[[#This Row],[Delivery_Date]])</f>
        <v>2024</v>
      </c>
      <c r="Z374" s="2" t="str">
        <f t="shared" si="50"/>
        <v>Dec</v>
      </c>
      <c r="AA374" t="s">
        <v>738</v>
      </c>
      <c r="AB374">
        <f t="shared" si="51"/>
        <v>531.36200000000008</v>
      </c>
      <c r="AC374">
        <f>Table2[[#This Row],[Price]]*Table2[[#This Row],[Quantity]]*Table2[[#This Row],[COUPON %]]/100</f>
        <v>42.988</v>
      </c>
      <c r="AD374">
        <f t="shared" si="52"/>
        <v>494.36200000000002</v>
      </c>
      <c r="AE374" s="1">
        <f t="shared" si="53"/>
        <v>537.35</v>
      </c>
    </row>
    <row r="375" spans="1:31" x14ac:dyDescent="0.25">
      <c r="A375" t="s">
        <v>529</v>
      </c>
      <c r="B375" t="str">
        <f t="shared" si="45"/>
        <v xml:space="preserve">Melissa Levy </v>
      </c>
      <c r="C375" t="s">
        <v>528</v>
      </c>
      <c r="D375" t="s">
        <v>527</v>
      </c>
      <c r="E375">
        <v>30</v>
      </c>
      <c r="F375" t="str">
        <f t="shared" si="46"/>
        <v>26-35</v>
      </c>
      <c r="G375" t="s">
        <v>108</v>
      </c>
      <c r="H375" t="s">
        <v>40</v>
      </c>
      <c r="I375" t="s">
        <v>526</v>
      </c>
      <c r="J375" t="str">
        <f t="shared" si="47"/>
        <v>rediffmail.com</v>
      </c>
      <c r="K375" t="s">
        <v>525</v>
      </c>
      <c r="L375" t="s">
        <v>737</v>
      </c>
      <c r="M375" s="2">
        <v>45417</v>
      </c>
      <c r="N375" t="s">
        <v>736</v>
      </c>
      <c r="O375" t="s">
        <v>123</v>
      </c>
      <c r="P375">
        <v>107.47</v>
      </c>
      <c r="Q375">
        <v>5</v>
      </c>
      <c r="R375" t="s">
        <v>166</v>
      </c>
      <c r="S375" s="5">
        <v>10</v>
      </c>
      <c r="T375" s="3">
        <v>4</v>
      </c>
      <c r="U375" s="4" t="str">
        <f t="shared" si="48"/>
        <v>Late_Delivery</v>
      </c>
      <c r="V375">
        <v>47</v>
      </c>
      <c r="W375" s="3">
        <f t="shared" si="49"/>
        <v>7</v>
      </c>
      <c r="X375" s="2">
        <v>45424</v>
      </c>
      <c r="Y375" s="1">
        <f>YEAR(Table2[[#This Row],[Delivery_Date]])</f>
        <v>2024</v>
      </c>
      <c r="Z375" s="2" t="str">
        <f t="shared" si="50"/>
        <v>May</v>
      </c>
      <c r="AA375" t="s">
        <v>735</v>
      </c>
      <c r="AB375">
        <f t="shared" si="51"/>
        <v>530.61500000000001</v>
      </c>
      <c r="AC375">
        <f>Table2[[#This Row],[Price]]*Table2[[#This Row],[Quantity]]*Table2[[#This Row],[COUPON %]]/100</f>
        <v>53.734999999999999</v>
      </c>
      <c r="AD375">
        <f t="shared" si="52"/>
        <v>483.61500000000001</v>
      </c>
      <c r="AE375" s="1">
        <f t="shared" si="53"/>
        <v>537.35</v>
      </c>
    </row>
    <row r="376" spans="1:31" x14ac:dyDescent="0.25">
      <c r="A376" t="s">
        <v>218</v>
      </c>
      <c r="B376" t="str">
        <f t="shared" si="45"/>
        <v xml:space="preserve">Beth Mason </v>
      </c>
      <c r="C376" t="s">
        <v>217</v>
      </c>
      <c r="D376" t="s">
        <v>216</v>
      </c>
      <c r="E376">
        <v>45</v>
      </c>
      <c r="F376" t="str">
        <f t="shared" si="46"/>
        <v>36-45</v>
      </c>
      <c r="G376" t="s">
        <v>8</v>
      </c>
      <c r="H376" t="s">
        <v>118</v>
      </c>
      <c r="I376" t="s">
        <v>215</v>
      </c>
      <c r="J376" t="str">
        <f t="shared" si="47"/>
        <v>outlook.com</v>
      </c>
      <c r="K376" t="s">
        <v>214</v>
      </c>
      <c r="L376" t="s">
        <v>734</v>
      </c>
      <c r="M376" s="2">
        <v>45446</v>
      </c>
      <c r="N376" t="s">
        <v>733</v>
      </c>
      <c r="O376" t="s">
        <v>470</v>
      </c>
      <c r="P376">
        <v>133.62</v>
      </c>
      <c r="Q376">
        <v>1</v>
      </c>
      <c r="R376" t="s">
        <v>93</v>
      </c>
      <c r="S376" s="5">
        <v>15</v>
      </c>
      <c r="T376" s="3">
        <v>5</v>
      </c>
      <c r="U376" s="4" t="str">
        <f t="shared" si="48"/>
        <v>On_time</v>
      </c>
      <c r="V376">
        <v>39</v>
      </c>
      <c r="W376" s="3">
        <f t="shared" si="49"/>
        <v>5</v>
      </c>
      <c r="X376" s="2">
        <v>45451</v>
      </c>
      <c r="Y376" s="1">
        <f>YEAR(Table2[[#This Row],[Delivery_Date]])</f>
        <v>2024</v>
      </c>
      <c r="Z376" s="2" t="str">
        <f t="shared" si="50"/>
        <v>Jun</v>
      </c>
      <c r="AA376" t="s">
        <v>732</v>
      </c>
      <c r="AB376">
        <f t="shared" si="51"/>
        <v>152.577</v>
      </c>
      <c r="AC376">
        <f>Table2[[#This Row],[Price]]*Table2[[#This Row],[Quantity]]*Table2[[#This Row],[COUPON %]]/100</f>
        <v>20.043000000000003</v>
      </c>
      <c r="AD376">
        <f t="shared" si="52"/>
        <v>113.577</v>
      </c>
      <c r="AE376" s="1">
        <f t="shared" si="53"/>
        <v>133.62</v>
      </c>
    </row>
    <row r="377" spans="1:31" x14ac:dyDescent="0.25">
      <c r="A377" t="s">
        <v>613</v>
      </c>
      <c r="B377" t="str">
        <f t="shared" si="45"/>
        <v xml:space="preserve">Mary Knight </v>
      </c>
      <c r="C377" t="s">
        <v>612</v>
      </c>
      <c r="D377" t="s">
        <v>611</v>
      </c>
      <c r="E377">
        <v>28</v>
      </c>
      <c r="F377" t="str">
        <f t="shared" si="46"/>
        <v>26-35</v>
      </c>
      <c r="G377" t="s">
        <v>8</v>
      </c>
      <c r="H377" t="s">
        <v>28</v>
      </c>
      <c r="I377" t="s">
        <v>610</v>
      </c>
      <c r="J377" t="str">
        <f t="shared" si="47"/>
        <v>yahoo.com</v>
      </c>
      <c r="K377" t="s">
        <v>609</v>
      </c>
      <c r="L377" t="s">
        <v>731</v>
      </c>
      <c r="M377" s="2">
        <v>45247</v>
      </c>
      <c r="N377" t="s">
        <v>730</v>
      </c>
      <c r="O377" t="s">
        <v>729</v>
      </c>
      <c r="P377">
        <v>275.44</v>
      </c>
      <c r="Q377">
        <v>2</v>
      </c>
      <c r="R377" t="s">
        <v>64</v>
      </c>
      <c r="S377" s="5">
        <v>20</v>
      </c>
      <c r="T377" s="3">
        <v>3</v>
      </c>
      <c r="U377" s="4" t="str">
        <f t="shared" si="48"/>
        <v>Late_Delivery</v>
      </c>
      <c r="V377">
        <v>43</v>
      </c>
      <c r="W377" s="3">
        <f t="shared" si="49"/>
        <v>4</v>
      </c>
      <c r="X377" s="2">
        <v>45251</v>
      </c>
      <c r="Y377" s="1">
        <f>YEAR(Table2[[#This Row],[Delivery_Date]])</f>
        <v>2023</v>
      </c>
      <c r="Z377" s="2" t="str">
        <f t="shared" si="50"/>
        <v>Nov</v>
      </c>
      <c r="AA377" t="s">
        <v>728</v>
      </c>
      <c r="AB377">
        <f t="shared" si="51"/>
        <v>483.70400000000001</v>
      </c>
      <c r="AC377">
        <f>Table2[[#This Row],[Price]]*Table2[[#This Row],[Quantity]]*Table2[[#This Row],[COUPON %]]/100</f>
        <v>110.176</v>
      </c>
      <c r="AD377">
        <f t="shared" si="52"/>
        <v>440.70400000000001</v>
      </c>
      <c r="AE377" s="1">
        <f t="shared" si="53"/>
        <v>550.88</v>
      </c>
    </row>
    <row r="378" spans="1:31" x14ac:dyDescent="0.25">
      <c r="A378" t="s">
        <v>727</v>
      </c>
      <c r="B378" t="str">
        <f t="shared" si="45"/>
        <v xml:space="preserve">Rachael Robinson </v>
      </c>
      <c r="C378" t="s">
        <v>726</v>
      </c>
      <c r="D378" t="s">
        <v>725</v>
      </c>
      <c r="E378">
        <v>24</v>
      </c>
      <c r="F378" t="str">
        <f t="shared" si="46"/>
        <v>0-25</v>
      </c>
      <c r="G378" t="s">
        <v>8</v>
      </c>
      <c r="H378" t="s">
        <v>18</v>
      </c>
      <c r="I378" t="s">
        <v>724</v>
      </c>
      <c r="J378" t="str">
        <f t="shared" si="47"/>
        <v>rediffmail.com</v>
      </c>
      <c r="K378" t="s">
        <v>723</v>
      </c>
      <c r="L378" t="s">
        <v>722</v>
      </c>
      <c r="M378" s="2">
        <v>45113</v>
      </c>
      <c r="N378" t="s">
        <v>721</v>
      </c>
      <c r="O378" t="s">
        <v>361</v>
      </c>
      <c r="P378">
        <v>330.11</v>
      </c>
      <c r="Q378">
        <v>3</v>
      </c>
      <c r="R378" t="s">
        <v>93</v>
      </c>
      <c r="S378" s="5">
        <v>15</v>
      </c>
      <c r="T378" s="3">
        <v>2</v>
      </c>
      <c r="U378" s="4" t="str">
        <f t="shared" si="48"/>
        <v>Late_Delivery</v>
      </c>
      <c r="V378">
        <v>56</v>
      </c>
      <c r="W378" s="3">
        <f t="shared" si="49"/>
        <v>4</v>
      </c>
      <c r="X378" s="2">
        <v>45117</v>
      </c>
      <c r="Y378" s="1">
        <f>YEAR(Table2[[#This Row],[Delivery_Date]])</f>
        <v>2023</v>
      </c>
      <c r="Z378" s="2" t="str">
        <f t="shared" si="50"/>
        <v>Jul</v>
      </c>
      <c r="AA378" t="s">
        <v>720</v>
      </c>
      <c r="AB378">
        <f t="shared" si="51"/>
        <v>897.78049999999996</v>
      </c>
      <c r="AC378">
        <f>Table2[[#This Row],[Price]]*Table2[[#This Row],[Quantity]]*Table2[[#This Row],[COUPON %]]/100</f>
        <v>148.54949999999999</v>
      </c>
      <c r="AD378">
        <f t="shared" si="52"/>
        <v>841.78049999999996</v>
      </c>
      <c r="AE378" s="1">
        <f t="shared" si="53"/>
        <v>990.33</v>
      </c>
    </row>
    <row r="379" spans="1:31" x14ac:dyDescent="0.25">
      <c r="A379" t="s">
        <v>613</v>
      </c>
      <c r="B379" t="str">
        <f t="shared" si="45"/>
        <v xml:space="preserve">Mary Knight </v>
      </c>
      <c r="C379" t="s">
        <v>612</v>
      </c>
      <c r="D379" t="s">
        <v>611</v>
      </c>
      <c r="E379">
        <v>28</v>
      </c>
      <c r="F379" t="str">
        <f t="shared" si="46"/>
        <v>26-35</v>
      </c>
      <c r="G379" t="s">
        <v>8</v>
      </c>
      <c r="H379" t="s">
        <v>28</v>
      </c>
      <c r="I379" t="s">
        <v>610</v>
      </c>
      <c r="J379" t="str">
        <f t="shared" si="47"/>
        <v>yahoo.com</v>
      </c>
      <c r="K379" t="s">
        <v>609</v>
      </c>
      <c r="L379" t="s">
        <v>719</v>
      </c>
      <c r="M379" s="2">
        <v>45307</v>
      </c>
      <c r="N379" t="s">
        <v>718</v>
      </c>
      <c r="O379" t="s">
        <v>23</v>
      </c>
      <c r="P379">
        <v>272.51</v>
      </c>
      <c r="Q379">
        <v>3</v>
      </c>
      <c r="R379" t="s">
        <v>34</v>
      </c>
      <c r="S379" s="5">
        <v>8</v>
      </c>
      <c r="T379" s="3">
        <v>6</v>
      </c>
      <c r="U379" s="4" t="str">
        <f t="shared" si="48"/>
        <v>Before_time</v>
      </c>
      <c r="V379">
        <v>44</v>
      </c>
      <c r="W379" s="3">
        <f t="shared" si="49"/>
        <v>3</v>
      </c>
      <c r="X379" s="2">
        <v>45310</v>
      </c>
      <c r="Y379" s="1">
        <f>YEAR(Table2[[#This Row],[Delivery_Date]])</f>
        <v>2024</v>
      </c>
      <c r="Z379" s="2" t="str">
        <f t="shared" si="50"/>
        <v>Jan</v>
      </c>
      <c r="AA379" t="s">
        <v>717</v>
      </c>
      <c r="AB379">
        <f t="shared" si="51"/>
        <v>796.12760000000003</v>
      </c>
      <c r="AC379">
        <f>Table2[[#This Row],[Price]]*Table2[[#This Row],[Quantity]]*Table2[[#This Row],[COUPON %]]/100</f>
        <v>65.4024</v>
      </c>
      <c r="AD379">
        <f t="shared" si="52"/>
        <v>752.12760000000003</v>
      </c>
      <c r="AE379" s="1">
        <f t="shared" si="53"/>
        <v>817.53</v>
      </c>
    </row>
    <row r="380" spans="1:31" x14ac:dyDescent="0.25">
      <c r="A380" t="s">
        <v>101</v>
      </c>
      <c r="B380" t="str">
        <f t="shared" si="45"/>
        <v xml:space="preserve">Gregory Lee </v>
      </c>
      <c r="C380" t="s">
        <v>100</v>
      </c>
      <c r="D380" t="s">
        <v>99</v>
      </c>
      <c r="E380">
        <v>26</v>
      </c>
      <c r="F380" t="str">
        <f t="shared" si="46"/>
        <v>26-35</v>
      </c>
      <c r="G380" t="s">
        <v>8</v>
      </c>
      <c r="H380" t="s">
        <v>28</v>
      </c>
      <c r="I380" t="s">
        <v>98</v>
      </c>
      <c r="J380" t="str">
        <f t="shared" si="47"/>
        <v>rediffmail.com</v>
      </c>
      <c r="K380" t="s">
        <v>97</v>
      </c>
      <c r="L380" t="s">
        <v>716</v>
      </c>
      <c r="M380" s="2">
        <v>45238</v>
      </c>
      <c r="N380" t="s">
        <v>715</v>
      </c>
      <c r="O380" t="s">
        <v>714</v>
      </c>
      <c r="P380">
        <v>175.93</v>
      </c>
      <c r="Q380">
        <v>4</v>
      </c>
      <c r="R380" t="s">
        <v>64</v>
      </c>
      <c r="S380" s="5">
        <v>20</v>
      </c>
      <c r="T380" s="3">
        <v>6</v>
      </c>
      <c r="U380" s="4" t="str">
        <f t="shared" si="48"/>
        <v>Before_time</v>
      </c>
      <c r="V380">
        <v>54</v>
      </c>
      <c r="W380" s="3">
        <f t="shared" si="49"/>
        <v>2</v>
      </c>
      <c r="X380" s="2">
        <v>45240</v>
      </c>
      <c r="Y380" s="1">
        <f>YEAR(Table2[[#This Row],[Delivery_Date]])</f>
        <v>2023</v>
      </c>
      <c r="Z380" s="2" t="str">
        <f t="shared" si="50"/>
        <v>Nov</v>
      </c>
      <c r="AA380" t="s">
        <v>713</v>
      </c>
      <c r="AB380">
        <f t="shared" si="51"/>
        <v>616.976</v>
      </c>
      <c r="AC380">
        <f>Table2[[#This Row],[Price]]*Table2[[#This Row],[Quantity]]*Table2[[#This Row],[COUPON %]]/100</f>
        <v>140.74400000000003</v>
      </c>
      <c r="AD380">
        <f t="shared" si="52"/>
        <v>562.976</v>
      </c>
      <c r="AE380" s="1">
        <f t="shared" si="53"/>
        <v>703.72</v>
      </c>
    </row>
    <row r="381" spans="1:31" x14ac:dyDescent="0.25">
      <c r="A381" t="s">
        <v>255</v>
      </c>
      <c r="B381" t="str">
        <f t="shared" si="45"/>
        <v xml:space="preserve">Lauren Crane </v>
      </c>
      <c r="C381" t="s">
        <v>254</v>
      </c>
      <c r="D381" t="s">
        <v>253</v>
      </c>
      <c r="E381">
        <v>62</v>
      </c>
      <c r="F381" t="str">
        <f t="shared" si="46"/>
        <v>&gt;45</v>
      </c>
      <c r="G381" t="s">
        <v>29</v>
      </c>
      <c r="H381" t="s">
        <v>7</v>
      </c>
      <c r="I381" t="s">
        <v>252</v>
      </c>
      <c r="J381" t="str">
        <f t="shared" si="47"/>
        <v>yahoo.com</v>
      </c>
      <c r="K381" t="s">
        <v>251</v>
      </c>
      <c r="L381" t="s">
        <v>712</v>
      </c>
      <c r="M381" s="2">
        <v>45459</v>
      </c>
      <c r="N381" t="s">
        <v>711</v>
      </c>
      <c r="O381" t="s">
        <v>426</v>
      </c>
      <c r="P381">
        <v>369.03</v>
      </c>
      <c r="Q381">
        <v>3</v>
      </c>
      <c r="R381" t="s">
        <v>34</v>
      </c>
      <c r="S381" s="5">
        <v>8</v>
      </c>
      <c r="T381" s="3">
        <v>6</v>
      </c>
      <c r="U381" s="4" t="str">
        <f t="shared" si="48"/>
        <v>Before_time</v>
      </c>
      <c r="V381">
        <v>57</v>
      </c>
      <c r="W381" s="3">
        <f t="shared" si="49"/>
        <v>2</v>
      </c>
      <c r="X381" s="2">
        <v>45461</v>
      </c>
      <c r="Y381" s="1">
        <f>YEAR(Table2[[#This Row],[Delivery_Date]])</f>
        <v>2024</v>
      </c>
      <c r="Z381" s="2" t="str">
        <f t="shared" si="50"/>
        <v>Jun</v>
      </c>
      <c r="AA381" t="s">
        <v>710</v>
      </c>
      <c r="AB381">
        <f t="shared" si="51"/>
        <v>1075.5228</v>
      </c>
      <c r="AC381">
        <f>Table2[[#This Row],[Price]]*Table2[[#This Row],[Quantity]]*Table2[[#This Row],[COUPON %]]/100</f>
        <v>88.5672</v>
      </c>
      <c r="AD381">
        <f t="shared" si="52"/>
        <v>1018.5228</v>
      </c>
      <c r="AE381" s="1">
        <f t="shared" si="53"/>
        <v>1107.0899999999999</v>
      </c>
    </row>
    <row r="382" spans="1:31" x14ac:dyDescent="0.25">
      <c r="A382" t="s">
        <v>709</v>
      </c>
      <c r="B382" t="str">
        <f t="shared" si="45"/>
        <v xml:space="preserve">Sarah Benson </v>
      </c>
      <c r="C382" t="s">
        <v>556</v>
      </c>
      <c r="D382" t="s">
        <v>708</v>
      </c>
      <c r="E382">
        <v>40</v>
      </c>
      <c r="F382" t="str">
        <f t="shared" si="46"/>
        <v>36-45</v>
      </c>
      <c r="G382" t="s">
        <v>8</v>
      </c>
      <c r="H382" t="s">
        <v>18</v>
      </c>
      <c r="I382" t="s">
        <v>707</v>
      </c>
      <c r="J382" t="str">
        <f t="shared" si="47"/>
        <v>outlook.com</v>
      </c>
      <c r="K382" t="s">
        <v>706</v>
      </c>
      <c r="L382" t="s">
        <v>705</v>
      </c>
      <c r="M382" s="2">
        <v>45040</v>
      </c>
      <c r="N382" t="s">
        <v>704</v>
      </c>
      <c r="O382" t="s">
        <v>290</v>
      </c>
      <c r="P382">
        <v>372.62</v>
      </c>
      <c r="Q382">
        <v>2</v>
      </c>
      <c r="R382" t="s">
        <v>64</v>
      </c>
      <c r="S382" s="5">
        <v>20</v>
      </c>
      <c r="T382" s="3">
        <v>2</v>
      </c>
      <c r="U382" s="4" t="str">
        <f t="shared" si="48"/>
        <v>Before_time</v>
      </c>
      <c r="V382">
        <v>47</v>
      </c>
      <c r="W382" s="3">
        <f t="shared" si="49"/>
        <v>1</v>
      </c>
      <c r="X382" s="2">
        <v>45041</v>
      </c>
      <c r="Y382" s="1">
        <f>YEAR(Table2[[#This Row],[Delivery_Date]])</f>
        <v>2023</v>
      </c>
      <c r="Z382" s="2" t="str">
        <f t="shared" si="50"/>
        <v>Apr</v>
      </c>
      <c r="AA382" t="s">
        <v>703</v>
      </c>
      <c r="AB382">
        <f t="shared" si="51"/>
        <v>643.19200000000001</v>
      </c>
      <c r="AC382">
        <f>Table2[[#This Row],[Price]]*Table2[[#This Row],[Quantity]]*Table2[[#This Row],[COUPON %]]/100</f>
        <v>149.048</v>
      </c>
      <c r="AD382">
        <f t="shared" si="52"/>
        <v>596.19200000000001</v>
      </c>
      <c r="AE382" s="1">
        <f t="shared" si="53"/>
        <v>745.24</v>
      </c>
    </row>
    <row r="383" spans="1:31" x14ac:dyDescent="0.25">
      <c r="A383" t="s">
        <v>444</v>
      </c>
      <c r="B383" t="str">
        <f t="shared" si="45"/>
        <v xml:space="preserve">Donna Oneill </v>
      </c>
      <c r="C383" t="s">
        <v>443</v>
      </c>
      <c r="D383" t="s">
        <v>442</v>
      </c>
      <c r="E383">
        <v>70</v>
      </c>
      <c r="F383" t="str">
        <f t="shared" si="46"/>
        <v>&gt;45</v>
      </c>
      <c r="G383" t="s">
        <v>108</v>
      </c>
      <c r="H383" t="s">
        <v>79</v>
      </c>
      <c r="I383" t="s">
        <v>441</v>
      </c>
      <c r="J383" t="str">
        <f t="shared" si="47"/>
        <v>yahoo.com</v>
      </c>
      <c r="K383" t="s">
        <v>440</v>
      </c>
      <c r="L383" t="s">
        <v>702</v>
      </c>
      <c r="M383" s="2">
        <v>45270</v>
      </c>
      <c r="N383" t="s">
        <v>701</v>
      </c>
      <c r="O383" t="s">
        <v>2</v>
      </c>
      <c r="P383">
        <v>44.5</v>
      </c>
      <c r="Q383">
        <v>1</v>
      </c>
      <c r="R383" t="s">
        <v>1</v>
      </c>
      <c r="S383" s="5">
        <v>0</v>
      </c>
      <c r="T383" s="3">
        <v>1</v>
      </c>
      <c r="U383" s="4" t="str">
        <f t="shared" si="48"/>
        <v>Late_Delivery</v>
      </c>
      <c r="V383">
        <v>37</v>
      </c>
      <c r="W383" s="3">
        <f t="shared" si="49"/>
        <v>7</v>
      </c>
      <c r="X383" s="2">
        <v>45277</v>
      </c>
      <c r="Y383" s="1">
        <f>YEAR(Table2[[#This Row],[Delivery_Date]])</f>
        <v>2023</v>
      </c>
      <c r="Z383" s="2" t="str">
        <f t="shared" si="50"/>
        <v>Dec</v>
      </c>
      <c r="AA383" t="s">
        <v>700</v>
      </c>
      <c r="AB383">
        <f t="shared" si="51"/>
        <v>81.5</v>
      </c>
      <c r="AC383">
        <f>Table2[[#This Row],[Price]]*Table2[[#This Row],[Quantity]]*Table2[[#This Row],[COUPON %]]/100</f>
        <v>0</v>
      </c>
      <c r="AD383">
        <f t="shared" si="52"/>
        <v>44.5</v>
      </c>
      <c r="AE383" s="1">
        <f t="shared" si="53"/>
        <v>44.5</v>
      </c>
    </row>
    <row r="384" spans="1:31" x14ac:dyDescent="0.25">
      <c r="A384" t="s">
        <v>231</v>
      </c>
      <c r="B384" t="str">
        <f t="shared" si="45"/>
        <v xml:space="preserve">Debra Hayes </v>
      </c>
      <c r="C384" t="s">
        <v>230</v>
      </c>
      <c r="D384" t="s">
        <v>229</v>
      </c>
      <c r="E384">
        <v>33</v>
      </c>
      <c r="F384" t="str">
        <f t="shared" si="46"/>
        <v>26-35</v>
      </c>
      <c r="G384" t="s">
        <v>108</v>
      </c>
      <c r="H384" t="s">
        <v>79</v>
      </c>
      <c r="I384" t="s">
        <v>228</v>
      </c>
      <c r="J384" t="str">
        <f t="shared" si="47"/>
        <v>yahoo.com</v>
      </c>
      <c r="K384" t="s">
        <v>227</v>
      </c>
      <c r="L384" t="s">
        <v>699</v>
      </c>
      <c r="M384" s="2">
        <v>45060</v>
      </c>
      <c r="N384" t="s">
        <v>698</v>
      </c>
      <c r="O384" t="s">
        <v>347</v>
      </c>
      <c r="P384">
        <v>157.63999999999999</v>
      </c>
      <c r="Q384">
        <v>1</v>
      </c>
      <c r="R384" t="s">
        <v>166</v>
      </c>
      <c r="S384" s="5">
        <v>10</v>
      </c>
      <c r="T384" s="3">
        <v>7</v>
      </c>
      <c r="U384" s="4" t="str">
        <f t="shared" si="48"/>
        <v>On_time</v>
      </c>
      <c r="V384">
        <v>48</v>
      </c>
      <c r="W384" s="3">
        <f t="shared" si="49"/>
        <v>7</v>
      </c>
      <c r="X384" s="2">
        <v>45067</v>
      </c>
      <c r="Y384" s="1">
        <f>YEAR(Table2[[#This Row],[Delivery_Date]])</f>
        <v>2023</v>
      </c>
      <c r="Z384" s="2" t="str">
        <f t="shared" si="50"/>
        <v>May</v>
      </c>
      <c r="AA384" t="s">
        <v>697</v>
      </c>
      <c r="AB384">
        <f t="shared" si="51"/>
        <v>189.876</v>
      </c>
      <c r="AC384">
        <f>Table2[[#This Row],[Price]]*Table2[[#This Row],[Quantity]]*Table2[[#This Row],[COUPON %]]/100</f>
        <v>15.763999999999999</v>
      </c>
      <c r="AD384">
        <f t="shared" si="52"/>
        <v>141.876</v>
      </c>
      <c r="AE384" s="1">
        <f t="shared" si="53"/>
        <v>157.63999999999999</v>
      </c>
    </row>
    <row r="385" spans="1:31" x14ac:dyDescent="0.25">
      <c r="A385" t="s">
        <v>156</v>
      </c>
      <c r="B385" t="str">
        <f t="shared" si="45"/>
        <v xml:space="preserve">Traci Jones </v>
      </c>
      <c r="C385" t="s">
        <v>155</v>
      </c>
      <c r="D385" t="s">
        <v>154</v>
      </c>
      <c r="E385">
        <v>34</v>
      </c>
      <c r="F385" t="str">
        <f t="shared" si="46"/>
        <v>26-35</v>
      </c>
      <c r="G385" t="s">
        <v>108</v>
      </c>
      <c r="H385" t="s">
        <v>118</v>
      </c>
      <c r="I385" t="s">
        <v>153</v>
      </c>
      <c r="J385" t="str">
        <f t="shared" si="47"/>
        <v>yahoo.com</v>
      </c>
      <c r="K385" t="s">
        <v>152</v>
      </c>
      <c r="L385" t="s">
        <v>696</v>
      </c>
      <c r="M385" s="2">
        <v>45243</v>
      </c>
      <c r="N385" t="s">
        <v>695</v>
      </c>
      <c r="O385" t="s">
        <v>65</v>
      </c>
      <c r="P385">
        <v>20.7</v>
      </c>
      <c r="Q385">
        <v>3</v>
      </c>
      <c r="R385" t="s">
        <v>34</v>
      </c>
      <c r="S385" s="5">
        <v>8</v>
      </c>
      <c r="T385" s="3">
        <v>5</v>
      </c>
      <c r="U385" s="4" t="str">
        <f t="shared" si="48"/>
        <v>Before_time</v>
      </c>
      <c r="V385">
        <v>46</v>
      </c>
      <c r="W385" s="3">
        <f t="shared" si="49"/>
        <v>2</v>
      </c>
      <c r="X385" s="2">
        <v>45245</v>
      </c>
      <c r="Y385" s="1">
        <f>YEAR(Table2[[#This Row],[Delivery_Date]])</f>
        <v>2023</v>
      </c>
      <c r="Z385" s="2" t="str">
        <f t="shared" si="50"/>
        <v>Nov</v>
      </c>
      <c r="AA385" t="s">
        <v>694</v>
      </c>
      <c r="AB385">
        <f t="shared" si="51"/>
        <v>103.13200000000001</v>
      </c>
      <c r="AC385">
        <f>Table2[[#This Row],[Price]]*Table2[[#This Row],[Quantity]]*Table2[[#This Row],[COUPON %]]/100</f>
        <v>4.968</v>
      </c>
      <c r="AD385">
        <f t="shared" si="52"/>
        <v>57.131999999999998</v>
      </c>
      <c r="AE385" s="1">
        <f t="shared" si="53"/>
        <v>62.099999999999994</v>
      </c>
    </row>
    <row r="386" spans="1:31" x14ac:dyDescent="0.25">
      <c r="A386" t="s">
        <v>279</v>
      </c>
      <c r="B386" t="str">
        <f t="shared" ref="B386:B449" si="54">CONCATENATE(C386," ", D386," ")</f>
        <v xml:space="preserve">Amy Ellis </v>
      </c>
      <c r="C386" t="s">
        <v>270</v>
      </c>
      <c r="D386" t="s">
        <v>278</v>
      </c>
      <c r="E386">
        <v>44</v>
      </c>
      <c r="F386" t="str">
        <f t="shared" ref="F386:F449" si="55">IF(E386&lt;=25,"0-25",IF(E386&lt;=35,"26-35",IF(E386&lt;=45,"36-45","&gt;45")))</f>
        <v>36-45</v>
      </c>
      <c r="G386" t="s">
        <v>8</v>
      </c>
      <c r="H386" t="s">
        <v>118</v>
      </c>
      <c r="I386" t="s">
        <v>277</v>
      </c>
      <c r="J386" t="str">
        <f t="shared" ref="J386:J449" si="56">MID(I386,FIND("@",I386)+1,100)</f>
        <v>gmail.com</v>
      </c>
      <c r="K386" t="s">
        <v>276</v>
      </c>
      <c r="L386" t="s">
        <v>693</v>
      </c>
      <c r="M386" s="2">
        <v>45264</v>
      </c>
      <c r="N386" t="s">
        <v>692</v>
      </c>
      <c r="O386" t="s">
        <v>35</v>
      </c>
      <c r="P386">
        <v>128.13999999999999</v>
      </c>
      <c r="Q386">
        <v>3</v>
      </c>
      <c r="R386" t="s">
        <v>64</v>
      </c>
      <c r="S386" s="5">
        <v>20</v>
      </c>
      <c r="T386" s="3">
        <v>2</v>
      </c>
      <c r="U386" s="4" t="str">
        <f t="shared" ref="U386:U449" si="57">IF(W386&lt;T386,"Before_time",IF(W386&gt;T386,"Late_Delivery","On_time"))</f>
        <v>Late_Delivery</v>
      </c>
      <c r="V386">
        <v>49</v>
      </c>
      <c r="W386" s="3">
        <f t="shared" ref="W386:W449" si="58">DATEDIF(M386,X386,"D")</f>
        <v>6</v>
      </c>
      <c r="X386" s="2">
        <v>45270</v>
      </c>
      <c r="Y386" s="1">
        <f>YEAR(Table2[[#This Row],[Delivery_Date]])</f>
        <v>2023</v>
      </c>
      <c r="Z386" s="2" t="str">
        <f t="shared" ref="Z386:Z449" si="59">TEXT(X386,"mmm")</f>
        <v>Dec</v>
      </c>
      <c r="AA386" t="s">
        <v>691</v>
      </c>
      <c r="AB386">
        <f t="shared" ref="AB386:AB449" si="60">AD386+V386</f>
        <v>356.536</v>
      </c>
      <c r="AC386">
        <f>Table2[[#This Row],[Price]]*Table2[[#This Row],[Quantity]]*Table2[[#This Row],[COUPON %]]/100</f>
        <v>76.884</v>
      </c>
      <c r="AD386">
        <f t="shared" ref="AD386:AD449" si="61">P386*Q386*(1-S386/100)</f>
        <v>307.536</v>
      </c>
      <c r="AE386" s="1">
        <f t="shared" ref="AE386:AE449" si="62">P386*Q386</f>
        <v>384.41999999999996</v>
      </c>
    </row>
    <row r="387" spans="1:31" x14ac:dyDescent="0.25">
      <c r="A387" t="s">
        <v>218</v>
      </c>
      <c r="B387" t="str">
        <f t="shared" si="54"/>
        <v xml:space="preserve">Beth Mason </v>
      </c>
      <c r="C387" t="s">
        <v>217</v>
      </c>
      <c r="D387" t="s">
        <v>216</v>
      </c>
      <c r="E387">
        <v>45</v>
      </c>
      <c r="F387" t="str">
        <f t="shared" si="55"/>
        <v>36-45</v>
      </c>
      <c r="G387" t="s">
        <v>8</v>
      </c>
      <c r="H387" t="s">
        <v>118</v>
      </c>
      <c r="I387" t="s">
        <v>215</v>
      </c>
      <c r="J387" t="str">
        <f t="shared" si="56"/>
        <v>outlook.com</v>
      </c>
      <c r="K387" t="s">
        <v>214</v>
      </c>
      <c r="L387" t="s">
        <v>690</v>
      </c>
      <c r="M387" s="2">
        <v>45404</v>
      </c>
      <c r="N387" t="s">
        <v>689</v>
      </c>
      <c r="O387" t="s">
        <v>347</v>
      </c>
      <c r="P387">
        <v>157.63999999999999</v>
      </c>
      <c r="Q387">
        <v>3</v>
      </c>
      <c r="R387" t="s">
        <v>34</v>
      </c>
      <c r="S387" s="5">
        <v>8</v>
      </c>
      <c r="T387" s="3">
        <v>4</v>
      </c>
      <c r="U387" s="4" t="str">
        <f t="shared" si="57"/>
        <v>Before_time</v>
      </c>
      <c r="V387">
        <v>66</v>
      </c>
      <c r="W387" s="3">
        <f t="shared" si="58"/>
        <v>1</v>
      </c>
      <c r="X387" s="2">
        <v>45405</v>
      </c>
      <c r="Y387" s="1">
        <f>YEAR(Table2[[#This Row],[Delivery_Date]])</f>
        <v>2024</v>
      </c>
      <c r="Z387" s="2" t="str">
        <f t="shared" si="59"/>
        <v>Apr</v>
      </c>
      <c r="AA387" t="s">
        <v>688</v>
      </c>
      <c r="AB387">
        <f t="shared" si="60"/>
        <v>501.08639999999997</v>
      </c>
      <c r="AC387">
        <f>Table2[[#This Row],[Price]]*Table2[[#This Row],[Quantity]]*Table2[[#This Row],[COUPON %]]/100</f>
        <v>37.833599999999997</v>
      </c>
      <c r="AD387">
        <f t="shared" si="61"/>
        <v>435.08639999999997</v>
      </c>
      <c r="AE387" s="1">
        <f t="shared" si="62"/>
        <v>472.91999999999996</v>
      </c>
    </row>
    <row r="388" spans="1:31" x14ac:dyDescent="0.25">
      <c r="A388" t="s">
        <v>371</v>
      </c>
      <c r="B388" t="str">
        <f t="shared" si="54"/>
        <v xml:space="preserve">Anthony Thomas </v>
      </c>
      <c r="C388" t="s">
        <v>370</v>
      </c>
      <c r="D388" t="s">
        <v>369</v>
      </c>
      <c r="E388">
        <v>53</v>
      </c>
      <c r="F388" t="str">
        <f t="shared" si="55"/>
        <v>&gt;45</v>
      </c>
      <c r="G388" t="s">
        <v>29</v>
      </c>
      <c r="H388" t="s">
        <v>7</v>
      </c>
      <c r="I388" t="s">
        <v>368</v>
      </c>
      <c r="J388" t="str">
        <f t="shared" si="56"/>
        <v>rediffmail.com</v>
      </c>
      <c r="K388" t="s">
        <v>367</v>
      </c>
      <c r="L388" t="s">
        <v>687</v>
      </c>
      <c r="M388" s="2">
        <v>45469</v>
      </c>
      <c r="N388" t="s">
        <v>686</v>
      </c>
      <c r="O388" t="s">
        <v>290</v>
      </c>
      <c r="P388">
        <v>372.62</v>
      </c>
      <c r="Q388">
        <v>1</v>
      </c>
      <c r="R388" t="s">
        <v>166</v>
      </c>
      <c r="S388" s="5">
        <v>10</v>
      </c>
      <c r="T388" s="3">
        <v>1</v>
      </c>
      <c r="U388" s="4" t="str">
        <f t="shared" si="57"/>
        <v>Late_Delivery</v>
      </c>
      <c r="V388">
        <v>66</v>
      </c>
      <c r="W388" s="3">
        <f t="shared" si="58"/>
        <v>2</v>
      </c>
      <c r="X388" s="2">
        <v>45471</v>
      </c>
      <c r="Y388" s="1">
        <f>YEAR(Table2[[#This Row],[Delivery_Date]])</f>
        <v>2024</v>
      </c>
      <c r="Z388" s="2" t="str">
        <f t="shared" si="59"/>
        <v>Jun</v>
      </c>
      <c r="AA388" t="s">
        <v>685</v>
      </c>
      <c r="AB388">
        <f t="shared" si="60"/>
        <v>401.358</v>
      </c>
      <c r="AC388">
        <f>Table2[[#This Row],[Price]]*Table2[[#This Row],[Quantity]]*Table2[[#This Row],[COUPON %]]/100</f>
        <v>37.262</v>
      </c>
      <c r="AD388">
        <f t="shared" si="61"/>
        <v>335.358</v>
      </c>
      <c r="AE388" s="1">
        <f t="shared" si="62"/>
        <v>372.62</v>
      </c>
    </row>
    <row r="389" spans="1:31" x14ac:dyDescent="0.25">
      <c r="A389" t="s">
        <v>255</v>
      </c>
      <c r="B389" t="str">
        <f t="shared" si="54"/>
        <v xml:space="preserve">Lauren Crane </v>
      </c>
      <c r="C389" t="s">
        <v>254</v>
      </c>
      <c r="D389" t="s">
        <v>253</v>
      </c>
      <c r="E389">
        <v>62</v>
      </c>
      <c r="F389" t="str">
        <f t="shared" si="55"/>
        <v>&gt;45</v>
      </c>
      <c r="G389" t="s">
        <v>29</v>
      </c>
      <c r="H389" t="s">
        <v>7</v>
      </c>
      <c r="I389" t="s">
        <v>252</v>
      </c>
      <c r="J389" t="str">
        <f t="shared" si="56"/>
        <v>yahoo.com</v>
      </c>
      <c r="K389" t="s">
        <v>251</v>
      </c>
      <c r="L389" t="s">
        <v>684</v>
      </c>
      <c r="M389" s="2">
        <v>45116</v>
      </c>
      <c r="N389" t="s">
        <v>683</v>
      </c>
      <c r="O389" t="s">
        <v>457</v>
      </c>
      <c r="P389">
        <v>363.64</v>
      </c>
      <c r="Q389">
        <v>4</v>
      </c>
      <c r="R389" t="s">
        <v>1</v>
      </c>
      <c r="S389" s="5">
        <v>0</v>
      </c>
      <c r="T389" s="3">
        <v>6</v>
      </c>
      <c r="U389" s="4" t="str">
        <f t="shared" si="57"/>
        <v>Before_time</v>
      </c>
      <c r="V389">
        <v>56</v>
      </c>
      <c r="W389" s="3">
        <f t="shared" si="58"/>
        <v>5</v>
      </c>
      <c r="X389" s="2">
        <v>45121</v>
      </c>
      <c r="Y389" s="1">
        <f>YEAR(Table2[[#This Row],[Delivery_Date]])</f>
        <v>2023</v>
      </c>
      <c r="Z389" s="2" t="str">
        <f t="shared" si="59"/>
        <v>Jul</v>
      </c>
      <c r="AA389" t="s">
        <v>682</v>
      </c>
      <c r="AB389">
        <f t="shared" si="60"/>
        <v>1510.56</v>
      </c>
      <c r="AC389">
        <f>Table2[[#This Row],[Price]]*Table2[[#This Row],[Quantity]]*Table2[[#This Row],[COUPON %]]/100</f>
        <v>0</v>
      </c>
      <c r="AD389">
        <f t="shared" si="61"/>
        <v>1454.56</v>
      </c>
      <c r="AE389" s="1">
        <f t="shared" si="62"/>
        <v>1454.56</v>
      </c>
    </row>
    <row r="390" spans="1:31" x14ac:dyDescent="0.25">
      <c r="A390" t="s">
        <v>11</v>
      </c>
      <c r="B390" t="str">
        <f t="shared" si="54"/>
        <v xml:space="preserve">Angela Evans </v>
      </c>
      <c r="C390" t="s">
        <v>10</v>
      </c>
      <c r="D390" t="s">
        <v>9</v>
      </c>
      <c r="E390">
        <v>52</v>
      </c>
      <c r="F390" t="str">
        <f t="shared" si="55"/>
        <v>&gt;45</v>
      </c>
      <c r="G390" t="s">
        <v>8</v>
      </c>
      <c r="H390" t="s">
        <v>7</v>
      </c>
      <c r="I390" t="s">
        <v>6</v>
      </c>
      <c r="J390" t="str">
        <f t="shared" si="56"/>
        <v>outlook.com</v>
      </c>
      <c r="K390" t="s">
        <v>5</v>
      </c>
      <c r="L390" t="s">
        <v>681</v>
      </c>
      <c r="M390" s="2">
        <v>45397</v>
      </c>
      <c r="N390" t="s">
        <v>680</v>
      </c>
      <c r="O390" t="s">
        <v>396</v>
      </c>
      <c r="P390">
        <v>286.07</v>
      </c>
      <c r="Q390">
        <v>5</v>
      </c>
      <c r="R390" t="s">
        <v>1</v>
      </c>
      <c r="S390" s="5">
        <v>0</v>
      </c>
      <c r="T390" s="3">
        <v>1</v>
      </c>
      <c r="U390" s="4" t="str">
        <f t="shared" si="57"/>
        <v>Late_Delivery</v>
      </c>
      <c r="V390">
        <v>41</v>
      </c>
      <c r="W390" s="3">
        <f t="shared" si="58"/>
        <v>7</v>
      </c>
      <c r="X390" s="2">
        <v>45404</v>
      </c>
      <c r="Y390" s="1">
        <f>YEAR(Table2[[#This Row],[Delivery_Date]])</f>
        <v>2024</v>
      </c>
      <c r="Z390" s="2" t="str">
        <f t="shared" si="59"/>
        <v>Apr</v>
      </c>
      <c r="AA390" t="s">
        <v>679</v>
      </c>
      <c r="AB390">
        <f t="shared" si="60"/>
        <v>1471.35</v>
      </c>
      <c r="AC390">
        <f>Table2[[#This Row],[Price]]*Table2[[#This Row],[Quantity]]*Table2[[#This Row],[COUPON %]]/100</f>
        <v>0</v>
      </c>
      <c r="AD390">
        <f t="shared" si="61"/>
        <v>1430.35</v>
      </c>
      <c r="AE390" s="1">
        <f t="shared" si="62"/>
        <v>1430.35</v>
      </c>
    </row>
    <row r="391" spans="1:31" x14ac:dyDescent="0.25">
      <c r="A391" t="s">
        <v>433</v>
      </c>
      <c r="B391" t="str">
        <f t="shared" si="54"/>
        <v xml:space="preserve">Jodi Whitney </v>
      </c>
      <c r="C391" t="s">
        <v>432</v>
      </c>
      <c r="D391" t="s">
        <v>431</v>
      </c>
      <c r="E391">
        <v>33</v>
      </c>
      <c r="F391" t="str">
        <f t="shared" si="55"/>
        <v>26-35</v>
      </c>
      <c r="G391" t="s">
        <v>8</v>
      </c>
      <c r="H391" t="s">
        <v>79</v>
      </c>
      <c r="I391" t="s">
        <v>430</v>
      </c>
      <c r="J391" t="str">
        <f t="shared" si="56"/>
        <v>yahoo.com</v>
      </c>
      <c r="K391" t="s">
        <v>429</v>
      </c>
      <c r="L391" t="s">
        <v>678</v>
      </c>
      <c r="M391" s="2">
        <v>45302</v>
      </c>
      <c r="N391" t="s">
        <v>677</v>
      </c>
      <c r="O391" t="s">
        <v>615</v>
      </c>
      <c r="P391">
        <v>282.63</v>
      </c>
      <c r="Q391">
        <v>3</v>
      </c>
      <c r="R391" t="s">
        <v>1</v>
      </c>
      <c r="S391" s="5">
        <v>0</v>
      </c>
      <c r="T391" s="3">
        <v>4</v>
      </c>
      <c r="U391" s="4" t="str">
        <f t="shared" si="57"/>
        <v>Late_Delivery</v>
      </c>
      <c r="V391">
        <v>66</v>
      </c>
      <c r="W391" s="3">
        <f t="shared" si="58"/>
        <v>5</v>
      </c>
      <c r="X391" s="2">
        <v>45307</v>
      </c>
      <c r="Y391" s="1">
        <f>YEAR(Table2[[#This Row],[Delivery_Date]])</f>
        <v>2024</v>
      </c>
      <c r="Z391" s="2" t="str">
        <f t="shared" si="59"/>
        <v>Jan</v>
      </c>
      <c r="AA391" t="s">
        <v>676</v>
      </c>
      <c r="AB391">
        <f t="shared" si="60"/>
        <v>913.89</v>
      </c>
      <c r="AC391">
        <f>Table2[[#This Row],[Price]]*Table2[[#This Row],[Quantity]]*Table2[[#This Row],[COUPON %]]/100</f>
        <v>0</v>
      </c>
      <c r="AD391">
        <f t="shared" si="61"/>
        <v>847.89</v>
      </c>
      <c r="AE391" s="1">
        <f t="shared" si="62"/>
        <v>847.89</v>
      </c>
    </row>
    <row r="392" spans="1:31" x14ac:dyDescent="0.25">
      <c r="A392" t="s">
        <v>537</v>
      </c>
      <c r="B392" t="str">
        <f t="shared" si="54"/>
        <v xml:space="preserve">Lauren Lane </v>
      </c>
      <c r="C392" t="s">
        <v>254</v>
      </c>
      <c r="D392" t="s">
        <v>536</v>
      </c>
      <c r="E392">
        <v>30</v>
      </c>
      <c r="F392" t="str">
        <f t="shared" si="55"/>
        <v>26-35</v>
      </c>
      <c r="G392" t="s">
        <v>108</v>
      </c>
      <c r="H392" t="s">
        <v>18</v>
      </c>
      <c r="I392" t="s">
        <v>535</v>
      </c>
      <c r="J392" t="str">
        <f t="shared" si="56"/>
        <v>gmail.com</v>
      </c>
      <c r="K392" t="s">
        <v>534</v>
      </c>
      <c r="L392" t="s">
        <v>675</v>
      </c>
      <c r="M392" s="2">
        <v>45361</v>
      </c>
      <c r="N392" t="s">
        <v>674</v>
      </c>
      <c r="O392" t="s">
        <v>290</v>
      </c>
      <c r="P392">
        <v>372.62</v>
      </c>
      <c r="Q392">
        <v>5</v>
      </c>
      <c r="R392" t="s">
        <v>34</v>
      </c>
      <c r="S392" s="5">
        <v>8</v>
      </c>
      <c r="T392" s="3">
        <v>4</v>
      </c>
      <c r="U392" s="4" t="str">
        <f t="shared" si="57"/>
        <v>Before_time</v>
      </c>
      <c r="V392">
        <v>66</v>
      </c>
      <c r="W392" s="3">
        <f t="shared" si="58"/>
        <v>3</v>
      </c>
      <c r="X392" s="2">
        <v>45364</v>
      </c>
      <c r="Y392" s="1">
        <f>YEAR(Table2[[#This Row],[Delivery_Date]])</f>
        <v>2024</v>
      </c>
      <c r="Z392" s="2" t="str">
        <f t="shared" si="59"/>
        <v>Mar</v>
      </c>
      <c r="AA392" t="s">
        <v>673</v>
      </c>
      <c r="AB392">
        <f t="shared" si="60"/>
        <v>1780.0519999999999</v>
      </c>
      <c r="AC392">
        <f>Table2[[#This Row],[Price]]*Table2[[#This Row],[Quantity]]*Table2[[#This Row],[COUPON %]]/100</f>
        <v>149.048</v>
      </c>
      <c r="AD392">
        <f t="shared" si="61"/>
        <v>1714.0519999999999</v>
      </c>
      <c r="AE392" s="1">
        <f t="shared" si="62"/>
        <v>1863.1</v>
      </c>
    </row>
    <row r="393" spans="1:31" x14ac:dyDescent="0.25">
      <c r="A393" t="s">
        <v>72</v>
      </c>
      <c r="B393" t="str">
        <f t="shared" si="54"/>
        <v xml:space="preserve">Gina Moreno </v>
      </c>
      <c r="C393" t="s">
        <v>71</v>
      </c>
      <c r="D393" t="s">
        <v>70</v>
      </c>
      <c r="E393">
        <v>36</v>
      </c>
      <c r="F393" t="str">
        <f t="shared" si="55"/>
        <v>36-45</v>
      </c>
      <c r="G393" t="s">
        <v>8</v>
      </c>
      <c r="H393" t="s">
        <v>59</v>
      </c>
      <c r="I393" t="s">
        <v>69</v>
      </c>
      <c r="J393" t="str">
        <f t="shared" si="56"/>
        <v>rediffmail.com</v>
      </c>
      <c r="K393" t="s">
        <v>68</v>
      </c>
      <c r="L393" t="s">
        <v>672</v>
      </c>
      <c r="M393" s="2">
        <v>45091</v>
      </c>
      <c r="N393" t="s">
        <v>671</v>
      </c>
      <c r="O393" t="s">
        <v>13</v>
      </c>
      <c r="P393">
        <v>424.82</v>
      </c>
      <c r="Q393">
        <v>4</v>
      </c>
      <c r="R393" t="s">
        <v>166</v>
      </c>
      <c r="S393" s="5">
        <v>10</v>
      </c>
      <c r="T393" s="3">
        <v>5</v>
      </c>
      <c r="U393" s="4" t="str">
        <f t="shared" si="57"/>
        <v>Late_Delivery</v>
      </c>
      <c r="V393">
        <v>58</v>
      </c>
      <c r="W393" s="3">
        <f t="shared" si="58"/>
        <v>7</v>
      </c>
      <c r="X393" s="2">
        <v>45098</v>
      </c>
      <c r="Y393" s="1">
        <f>YEAR(Table2[[#This Row],[Delivery_Date]])</f>
        <v>2023</v>
      </c>
      <c r="Z393" s="2" t="str">
        <f t="shared" si="59"/>
        <v>Jun</v>
      </c>
      <c r="AA393" t="s">
        <v>670</v>
      </c>
      <c r="AB393">
        <f t="shared" si="60"/>
        <v>1587.3520000000001</v>
      </c>
      <c r="AC393">
        <f>Table2[[#This Row],[Price]]*Table2[[#This Row],[Quantity]]*Table2[[#This Row],[COUPON %]]/100</f>
        <v>169.928</v>
      </c>
      <c r="AD393">
        <f t="shared" si="61"/>
        <v>1529.3520000000001</v>
      </c>
      <c r="AE393" s="1">
        <f t="shared" si="62"/>
        <v>1699.28</v>
      </c>
    </row>
    <row r="394" spans="1:31" x14ac:dyDescent="0.25">
      <c r="A394" t="s">
        <v>206</v>
      </c>
      <c r="B394" t="str">
        <f t="shared" si="54"/>
        <v xml:space="preserve">Alexandra Smith </v>
      </c>
      <c r="C394" t="s">
        <v>205</v>
      </c>
      <c r="D394" t="s">
        <v>204</v>
      </c>
      <c r="E394">
        <v>70</v>
      </c>
      <c r="F394" t="str">
        <f t="shared" si="55"/>
        <v>&gt;45</v>
      </c>
      <c r="G394" t="s">
        <v>108</v>
      </c>
      <c r="H394" t="s">
        <v>107</v>
      </c>
      <c r="I394" t="s">
        <v>203</v>
      </c>
      <c r="J394" t="str">
        <f t="shared" si="56"/>
        <v>rediffmail.com</v>
      </c>
      <c r="K394" t="s">
        <v>202</v>
      </c>
      <c r="L394" t="s">
        <v>669</v>
      </c>
      <c r="M394" s="2">
        <v>45172</v>
      </c>
      <c r="N394" t="s">
        <v>668</v>
      </c>
      <c r="O394" t="s">
        <v>667</v>
      </c>
      <c r="P394">
        <v>421.7</v>
      </c>
      <c r="Q394">
        <v>3</v>
      </c>
      <c r="R394" t="s">
        <v>1</v>
      </c>
      <c r="S394" s="5">
        <v>0</v>
      </c>
      <c r="T394" s="3">
        <v>3</v>
      </c>
      <c r="U394" s="4" t="str">
        <f t="shared" si="57"/>
        <v>Late_Delivery</v>
      </c>
      <c r="V394">
        <v>56</v>
      </c>
      <c r="W394" s="3">
        <f t="shared" si="58"/>
        <v>5</v>
      </c>
      <c r="X394" s="2">
        <v>45177</v>
      </c>
      <c r="Y394" s="1">
        <f>YEAR(Table2[[#This Row],[Delivery_Date]])</f>
        <v>2023</v>
      </c>
      <c r="Z394" s="2" t="str">
        <f t="shared" si="59"/>
        <v>Sep</v>
      </c>
      <c r="AA394" t="s">
        <v>666</v>
      </c>
      <c r="AB394">
        <f t="shared" si="60"/>
        <v>1321.1</v>
      </c>
      <c r="AC394">
        <f>Table2[[#This Row],[Price]]*Table2[[#This Row],[Quantity]]*Table2[[#This Row],[COUPON %]]/100</f>
        <v>0</v>
      </c>
      <c r="AD394">
        <f t="shared" si="61"/>
        <v>1265.0999999999999</v>
      </c>
      <c r="AE394" s="1">
        <f t="shared" si="62"/>
        <v>1265.0999999999999</v>
      </c>
    </row>
    <row r="395" spans="1:31" x14ac:dyDescent="0.25">
      <c r="A395" t="s">
        <v>665</v>
      </c>
      <c r="B395" t="str">
        <f t="shared" si="54"/>
        <v xml:space="preserve">Bruce Allen </v>
      </c>
      <c r="C395" t="s">
        <v>664</v>
      </c>
      <c r="D395" t="s">
        <v>663</v>
      </c>
      <c r="E395">
        <v>32</v>
      </c>
      <c r="F395" t="str">
        <f t="shared" si="55"/>
        <v>26-35</v>
      </c>
      <c r="G395" t="s">
        <v>29</v>
      </c>
      <c r="H395" t="s">
        <v>107</v>
      </c>
      <c r="I395" t="s">
        <v>662</v>
      </c>
      <c r="J395" t="str">
        <f t="shared" si="56"/>
        <v>rediffmail.com</v>
      </c>
      <c r="K395" t="s">
        <v>661</v>
      </c>
      <c r="L395" t="s">
        <v>660</v>
      </c>
      <c r="M395" s="2">
        <v>45343</v>
      </c>
      <c r="N395" t="s">
        <v>659</v>
      </c>
      <c r="O395" t="s">
        <v>600</v>
      </c>
      <c r="P395">
        <v>292.14999999999998</v>
      </c>
      <c r="Q395">
        <v>2</v>
      </c>
      <c r="R395" t="s">
        <v>93</v>
      </c>
      <c r="S395" s="5">
        <v>15</v>
      </c>
      <c r="T395" s="3">
        <v>6</v>
      </c>
      <c r="U395" s="4" t="str">
        <f t="shared" si="57"/>
        <v>Before_time</v>
      </c>
      <c r="V395">
        <v>60</v>
      </c>
      <c r="W395" s="3">
        <f t="shared" si="58"/>
        <v>5</v>
      </c>
      <c r="X395" s="2">
        <v>45348</v>
      </c>
      <c r="Y395" s="1">
        <f>YEAR(Table2[[#This Row],[Delivery_Date]])</f>
        <v>2024</v>
      </c>
      <c r="Z395" s="2" t="str">
        <f t="shared" si="59"/>
        <v>Feb</v>
      </c>
      <c r="AA395" t="s">
        <v>658</v>
      </c>
      <c r="AB395">
        <f t="shared" si="60"/>
        <v>556.65499999999997</v>
      </c>
      <c r="AC395">
        <f>Table2[[#This Row],[Price]]*Table2[[#This Row],[Quantity]]*Table2[[#This Row],[COUPON %]]/100</f>
        <v>87.644999999999996</v>
      </c>
      <c r="AD395">
        <f t="shared" si="61"/>
        <v>496.65499999999997</v>
      </c>
      <c r="AE395" s="1">
        <f t="shared" si="62"/>
        <v>584.29999999999995</v>
      </c>
    </row>
    <row r="396" spans="1:31" x14ac:dyDescent="0.25">
      <c r="A396" t="s">
        <v>52</v>
      </c>
      <c r="B396" t="str">
        <f t="shared" si="54"/>
        <v xml:space="preserve">Mark Henderson </v>
      </c>
      <c r="C396" t="s">
        <v>51</v>
      </c>
      <c r="D396" t="s">
        <v>50</v>
      </c>
      <c r="E396">
        <v>33</v>
      </c>
      <c r="F396" t="str">
        <f t="shared" si="55"/>
        <v>26-35</v>
      </c>
      <c r="G396" t="s">
        <v>8</v>
      </c>
      <c r="H396" t="s">
        <v>18</v>
      </c>
      <c r="I396" t="s">
        <v>49</v>
      </c>
      <c r="J396" t="str">
        <f t="shared" si="56"/>
        <v>yahoo.com</v>
      </c>
      <c r="K396" t="s">
        <v>48</v>
      </c>
      <c r="L396" t="s">
        <v>657</v>
      </c>
      <c r="M396" s="2">
        <v>45657</v>
      </c>
      <c r="N396" t="s">
        <v>656</v>
      </c>
      <c r="O396" t="s">
        <v>290</v>
      </c>
      <c r="P396">
        <v>372.62</v>
      </c>
      <c r="Q396">
        <v>1</v>
      </c>
      <c r="R396" t="s">
        <v>93</v>
      </c>
      <c r="S396" s="5">
        <v>15</v>
      </c>
      <c r="T396" s="3">
        <v>5</v>
      </c>
      <c r="U396" s="4" t="str">
        <f t="shared" si="57"/>
        <v>Before_time</v>
      </c>
      <c r="V396">
        <v>50</v>
      </c>
      <c r="W396" s="3">
        <f t="shared" si="58"/>
        <v>4</v>
      </c>
      <c r="X396" s="2">
        <v>45661</v>
      </c>
      <c r="Y396" s="1">
        <f>YEAR(Table2[[#This Row],[Delivery_Date]])</f>
        <v>2025</v>
      </c>
      <c r="Z396" s="2" t="str">
        <f t="shared" si="59"/>
        <v>Jan</v>
      </c>
      <c r="AA396" t="s">
        <v>655</v>
      </c>
      <c r="AB396">
        <f t="shared" si="60"/>
        <v>366.72699999999998</v>
      </c>
      <c r="AC396">
        <f>Table2[[#This Row],[Price]]*Table2[[#This Row],[Quantity]]*Table2[[#This Row],[COUPON %]]/100</f>
        <v>55.893000000000001</v>
      </c>
      <c r="AD396">
        <f t="shared" si="61"/>
        <v>316.72699999999998</v>
      </c>
      <c r="AE396" s="1">
        <f t="shared" si="62"/>
        <v>372.62</v>
      </c>
    </row>
    <row r="397" spans="1:31" x14ac:dyDescent="0.25">
      <c r="A397" t="s">
        <v>255</v>
      </c>
      <c r="B397" t="str">
        <f t="shared" si="54"/>
        <v xml:space="preserve">Lauren Crane </v>
      </c>
      <c r="C397" t="s">
        <v>254</v>
      </c>
      <c r="D397" t="s">
        <v>253</v>
      </c>
      <c r="E397">
        <v>62</v>
      </c>
      <c r="F397" t="str">
        <f t="shared" si="55"/>
        <v>&gt;45</v>
      </c>
      <c r="G397" t="s">
        <v>29</v>
      </c>
      <c r="H397" t="s">
        <v>7</v>
      </c>
      <c r="I397" t="s">
        <v>252</v>
      </c>
      <c r="J397" t="str">
        <f t="shared" si="56"/>
        <v>yahoo.com</v>
      </c>
      <c r="K397" t="s">
        <v>251</v>
      </c>
      <c r="L397" t="s">
        <v>654</v>
      </c>
      <c r="M397" s="2">
        <v>45340</v>
      </c>
      <c r="N397" t="s">
        <v>653</v>
      </c>
      <c r="O397" t="s">
        <v>131</v>
      </c>
      <c r="P397">
        <v>48.45</v>
      </c>
      <c r="Q397">
        <v>3</v>
      </c>
      <c r="R397" t="s">
        <v>93</v>
      </c>
      <c r="S397" s="5">
        <v>15</v>
      </c>
      <c r="T397" s="3">
        <v>5</v>
      </c>
      <c r="U397" s="4" t="str">
        <f t="shared" si="57"/>
        <v>Late_Delivery</v>
      </c>
      <c r="V397">
        <v>42</v>
      </c>
      <c r="W397" s="3">
        <f t="shared" si="58"/>
        <v>7</v>
      </c>
      <c r="X397" s="2">
        <v>45347</v>
      </c>
      <c r="Y397" s="1">
        <f>YEAR(Table2[[#This Row],[Delivery_Date]])</f>
        <v>2024</v>
      </c>
      <c r="Z397" s="2" t="str">
        <f t="shared" si="59"/>
        <v>Feb</v>
      </c>
      <c r="AA397" t="s">
        <v>652</v>
      </c>
      <c r="AB397">
        <f t="shared" si="60"/>
        <v>165.54750000000001</v>
      </c>
      <c r="AC397">
        <f>Table2[[#This Row],[Price]]*Table2[[#This Row],[Quantity]]*Table2[[#This Row],[COUPON %]]/100</f>
        <v>21.802500000000006</v>
      </c>
      <c r="AD397">
        <f t="shared" si="61"/>
        <v>123.54750000000001</v>
      </c>
      <c r="AE397" s="1">
        <f t="shared" si="62"/>
        <v>145.35000000000002</v>
      </c>
    </row>
    <row r="398" spans="1:31" x14ac:dyDescent="0.25">
      <c r="A398" t="s">
        <v>651</v>
      </c>
      <c r="B398" t="str">
        <f t="shared" si="54"/>
        <v xml:space="preserve">Christy Chang </v>
      </c>
      <c r="C398" t="s">
        <v>650</v>
      </c>
      <c r="D398" t="s">
        <v>649</v>
      </c>
      <c r="E398">
        <v>38</v>
      </c>
      <c r="F398" t="str">
        <f t="shared" si="55"/>
        <v>36-45</v>
      </c>
      <c r="G398" t="s">
        <v>29</v>
      </c>
      <c r="H398" t="s">
        <v>18</v>
      </c>
      <c r="I398" t="s">
        <v>648</v>
      </c>
      <c r="J398" t="str">
        <f t="shared" si="56"/>
        <v>outlook.com</v>
      </c>
      <c r="K398" t="s">
        <v>647</v>
      </c>
      <c r="L398" t="s">
        <v>646</v>
      </c>
      <c r="M398" s="2">
        <v>45312</v>
      </c>
      <c r="N398" t="s">
        <v>645</v>
      </c>
      <c r="O398" t="s">
        <v>644</v>
      </c>
      <c r="P398">
        <v>190.1</v>
      </c>
      <c r="Q398">
        <v>3</v>
      </c>
      <c r="R398" t="s">
        <v>166</v>
      </c>
      <c r="S398" s="5">
        <v>10</v>
      </c>
      <c r="T398" s="3">
        <v>3</v>
      </c>
      <c r="U398" s="4" t="str">
        <f t="shared" si="57"/>
        <v>On_time</v>
      </c>
      <c r="V398">
        <v>41</v>
      </c>
      <c r="W398" s="3">
        <f t="shared" si="58"/>
        <v>3</v>
      </c>
      <c r="X398" s="2">
        <v>45315</v>
      </c>
      <c r="Y398" s="1">
        <f>YEAR(Table2[[#This Row],[Delivery_Date]])</f>
        <v>2024</v>
      </c>
      <c r="Z398" s="2" t="str">
        <f t="shared" si="59"/>
        <v>Jan</v>
      </c>
      <c r="AA398" t="s">
        <v>643</v>
      </c>
      <c r="AB398">
        <f t="shared" si="60"/>
        <v>554.27</v>
      </c>
      <c r="AC398">
        <f>Table2[[#This Row],[Price]]*Table2[[#This Row],[Quantity]]*Table2[[#This Row],[COUPON %]]/100</f>
        <v>57.03</v>
      </c>
      <c r="AD398">
        <f t="shared" si="61"/>
        <v>513.27</v>
      </c>
      <c r="AE398" s="1">
        <f t="shared" si="62"/>
        <v>570.29999999999995</v>
      </c>
    </row>
    <row r="399" spans="1:31" x14ac:dyDescent="0.25">
      <c r="A399" t="s">
        <v>255</v>
      </c>
      <c r="B399" t="str">
        <f t="shared" si="54"/>
        <v xml:space="preserve">Lauren Crane </v>
      </c>
      <c r="C399" t="s">
        <v>254</v>
      </c>
      <c r="D399" t="s">
        <v>253</v>
      </c>
      <c r="E399">
        <v>62</v>
      </c>
      <c r="F399" t="str">
        <f t="shared" si="55"/>
        <v>&gt;45</v>
      </c>
      <c r="G399" t="s">
        <v>29</v>
      </c>
      <c r="H399" t="s">
        <v>7</v>
      </c>
      <c r="I399" t="s">
        <v>252</v>
      </c>
      <c r="J399" t="str">
        <f t="shared" si="56"/>
        <v>yahoo.com</v>
      </c>
      <c r="K399" t="s">
        <v>251</v>
      </c>
      <c r="L399" t="s">
        <v>642</v>
      </c>
      <c r="M399" s="2">
        <v>45344</v>
      </c>
      <c r="N399" t="s">
        <v>641</v>
      </c>
      <c r="O399" t="s">
        <v>220</v>
      </c>
      <c r="P399">
        <v>461.07</v>
      </c>
      <c r="Q399">
        <v>4</v>
      </c>
      <c r="R399" t="s">
        <v>93</v>
      </c>
      <c r="S399" s="5">
        <v>15</v>
      </c>
      <c r="T399" s="3">
        <v>1</v>
      </c>
      <c r="U399" s="4" t="str">
        <f t="shared" si="57"/>
        <v>Late_Delivery</v>
      </c>
      <c r="V399">
        <v>66</v>
      </c>
      <c r="W399" s="3">
        <f t="shared" si="58"/>
        <v>2</v>
      </c>
      <c r="X399" s="2">
        <v>45346</v>
      </c>
      <c r="Y399" s="1">
        <f>YEAR(Table2[[#This Row],[Delivery_Date]])</f>
        <v>2024</v>
      </c>
      <c r="Z399" s="2" t="str">
        <f t="shared" si="59"/>
        <v>Feb</v>
      </c>
      <c r="AA399" t="s">
        <v>640</v>
      </c>
      <c r="AB399">
        <f t="shared" si="60"/>
        <v>1633.6379999999999</v>
      </c>
      <c r="AC399">
        <f>Table2[[#This Row],[Price]]*Table2[[#This Row],[Quantity]]*Table2[[#This Row],[COUPON %]]/100</f>
        <v>276.642</v>
      </c>
      <c r="AD399">
        <f t="shared" si="61"/>
        <v>1567.6379999999999</v>
      </c>
      <c r="AE399" s="1">
        <f t="shared" si="62"/>
        <v>1844.28</v>
      </c>
    </row>
    <row r="400" spans="1:31" x14ac:dyDescent="0.25">
      <c r="A400" t="s">
        <v>147</v>
      </c>
      <c r="B400" t="str">
        <f t="shared" si="54"/>
        <v xml:space="preserve">Courtney Parker </v>
      </c>
      <c r="C400" t="s">
        <v>146</v>
      </c>
      <c r="D400" t="s">
        <v>145</v>
      </c>
      <c r="E400">
        <v>29</v>
      </c>
      <c r="F400" t="str">
        <f t="shared" si="55"/>
        <v>26-35</v>
      </c>
      <c r="G400" t="s">
        <v>8</v>
      </c>
      <c r="H400" t="s">
        <v>118</v>
      </c>
      <c r="I400" t="s">
        <v>144</v>
      </c>
      <c r="J400" t="str">
        <f t="shared" si="56"/>
        <v>yahoo.com</v>
      </c>
      <c r="K400" t="s">
        <v>143</v>
      </c>
      <c r="L400" t="s">
        <v>639</v>
      </c>
      <c r="M400" s="2">
        <v>45295</v>
      </c>
      <c r="N400" t="s">
        <v>638</v>
      </c>
      <c r="O400" t="s">
        <v>347</v>
      </c>
      <c r="P400">
        <v>157.63999999999999</v>
      </c>
      <c r="Q400">
        <v>5</v>
      </c>
      <c r="R400" t="s">
        <v>34</v>
      </c>
      <c r="S400" s="5">
        <v>8</v>
      </c>
      <c r="T400" s="3">
        <v>2</v>
      </c>
      <c r="U400" s="4" t="str">
        <f t="shared" si="57"/>
        <v>Late_Delivery</v>
      </c>
      <c r="V400">
        <v>46</v>
      </c>
      <c r="W400" s="3">
        <f t="shared" si="58"/>
        <v>6</v>
      </c>
      <c r="X400" s="2">
        <v>45301</v>
      </c>
      <c r="Y400" s="1">
        <f>YEAR(Table2[[#This Row],[Delivery_Date]])</f>
        <v>2024</v>
      </c>
      <c r="Z400" s="2" t="str">
        <f t="shared" si="59"/>
        <v>Jan</v>
      </c>
      <c r="AA400" t="s">
        <v>637</v>
      </c>
      <c r="AB400">
        <f t="shared" si="60"/>
        <v>771.14400000000001</v>
      </c>
      <c r="AC400">
        <f>Table2[[#This Row],[Price]]*Table2[[#This Row],[Quantity]]*Table2[[#This Row],[COUPON %]]/100</f>
        <v>63.055999999999997</v>
      </c>
      <c r="AD400">
        <f t="shared" si="61"/>
        <v>725.14400000000001</v>
      </c>
      <c r="AE400" s="1">
        <f t="shared" si="62"/>
        <v>788.19999999999993</v>
      </c>
    </row>
    <row r="401" spans="1:31" x14ac:dyDescent="0.25">
      <c r="A401" t="s">
        <v>188</v>
      </c>
      <c r="B401" t="str">
        <f t="shared" si="54"/>
        <v xml:space="preserve">Deborah Bates </v>
      </c>
      <c r="C401" t="s">
        <v>187</v>
      </c>
      <c r="D401" t="s">
        <v>186</v>
      </c>
      <c r="E401">
        <v>23</v>
      </c>
      <c r="F401" t="str">
        <f t="shared" si="55"/>
        <v>0-25</v>
      </c>
      <c r="G401" t="s">
        <v>108</v>
      </c>
      <c r="H401" t="s">
        <v>118</v>
      </c>
      <c r="I401" t="s">
        <v>185</v>
      </c>
      <c r="J401" t="str">
        <f t="shared" si="56"/>
        <v>yahoo.com</v>
      </c>
      <c r="K401" t="s">
        <v>184</v>
      </c>
      <c r="L401" t="s">
        <v>636</v>
      </c>
      <c r="M401" s="2">
        <v>45477</v>
      </c>
      <c r="N401" t="s">
        <v>635</v>
      </c>
      <c r="O401" t="s">
        <v>281</v>
      </c>
      <c r="P401">
        <v>445.81</v>
      </c>
      <c r="Q401">
        <v>3</v>
      </c>
      <c r="R401" t="s">
        <v>34</v>
      </c>
      <c r="S401" s="5">
        <v>8</v>
      </c>
      <c r="T401" s="3">
        <v>1</v>
      </c>
      <c r="U401" s="4" t="str">
        <f t="shared" si="57"/>
        <v>On_time</v>
      </c>
      <c r="V401">
        <v>37</v>
      </c>
      <c r="W401" s="3">
        <f t="shared" si="58"/>
        <v>1</v>
      </c>
      <c r="X401" s="2">
        <v>45478</v>
      </c>
      <c r="Y401" s="1">
        <f>YEAR(Table2[[#This Row],[Delivery_Date]])</f>
        <v>2024</v>
      </c>
      <c r="Z401" s="2" t="str">
        <f t="shared" si="59"/>
        <v>Jul</v>
      </c>
      <c r="AA401" t="s">
        <v>634</v>
      </c>
      <c r="AB401">
        <f t="shared" si="60"/>
        <v>1267.4356</v>
      </c>
      <c r="AC401">
        <f>Table2[[#This Row],[Price]]*Table2[[#This Row],[Quantity]]*Table2[[#This Row],[COUPON %]]/100</f>
        <v>106.9944</v>
      </c>
      <c r="AD401">
        <f t="shared" si="61"/>
        <v>1230.4356</v>
      </c>
      <c r="AE401" s="1">
        <f t="shared" si="62"/>
        <v>1337.43</v>
      </c>
    </row>
    <row r="402" spans="1:31" x14ac:dyDescent="0.25">
      <c r="A402" t="s">
        <v>43</v>
      </c>
      <c r="B402" t="str">
        <f t="shared" si="54"/>
        <v xml:space="preserve">Katie Hicks </v>
      </c>
      <c r="C402" t="s">
        <v>42</v>
      </c>
      <c r="D402" t="s">
        <v>41</v>
      </c>
      <c r="E402">
        <v>34</v>
      </c>
      <c r="F402" t="str">
        <f t="shared" si="55"/>
        <v>26-35</v>
      </c>
      <c r="G402" t="s">
        <v>8</v>
      </c>
      <c r="H402" t="s">
        <v>40</v>
      </c>
      <c r="I402" t="s">
        <v>39</v>
      </c>
      <c r="J402" t="str">
        <f t="shared" si="56"/>
        <v>rediffmail.com</v>
      </c>
      <c r="K402" t="s">
        <v>38</v>
      </c>
      <c r="L402" t="s">
        <v>633</v>
      </c>
      <c r="M402" s="2">
        <v>45646</v>
      </c>
      <c r="N402" t="s">
        <v>632</v>
      </c>
      <c r="O402" t="s">
        <v>149</v>
      </c>
      <c r="P402">
        <v>481.48</v>
      </c>
      <c r="Q402">
        <v>4</v>
      </c>
      <c r="R402" t="s">
        <v>93</v>
      </c>
      <c r="S402" s="5">
        <v>15</v>
      </c>
      <c r="T402" s="3">
        <v>4</v>
      </c>
      <c r="U402" s="4" t="str">
        <f t="shared" si="57"/>
        <v>Before_time</v>
      </c>
      <c r="V402">
        <v>38</v>
      </c>
      <c r="W402" s="3">
        <f t="shared" si="58"/>
        <v>1</v>
      </c>
      <c r="X402" s="2">
        <v>45647</v>
      </c>
      <c r="Y402" s="1">
        <f>YEAR(Table2[[#This Row],[Delivery_Date]])</f>
        <v>2024</v>
      </c>
      <c r="Z402" s="2" t="str">
        <f t="shared" si="59"/>
        <v>Dec</v>
      </c>
      <c r="AA402" t="s">
        <v>631</v>
      </c>
      <c r="AB402">
        <f t="shared" si="60"/>
        <v>1675.0319999999999</v>
      </c>
      <c r="AC402">
        <f>Table2[[#This Row],[Price]]*Table2[[#This Row],[Quantity]]*Table2[[#This Row],[COUPON %]]/100</f>
        <v>288.88800000000003</v>
      </c>
      <c r="AD402">
        <f t="shared" si="61"/>
        <v>1637.0319999999999</v>
      </c>
      <c r="AE402" s="1">
        <f t="shared" si="62"/>
        <v>1925.92</v>
      </c>
    </row>
    <row r="403" spans="1:31" x14ac:dyDescent="0.25">
      <c r="A403" t="s">
        <v>630</v>
      </c>
      <c r="B403" t="str">
        <f t="shared" si="54"/>
        <v xml:space="preserve">Jason Lopez </v>
      </c>
      <c r="C403" t="s">
        <v>629</v>
      </c>
      <c r="D403" t="s">
        <v>596</v>
      </c>
      <c r="E403">
        <v>40</v>
      </c>
      <c r="F403" t="str">
        <f t="shared" si="55"/>
        <v>36-45</v>
      </c>
      <c r="G403" t="s">
        <v>8</v>
      </c>
      <c r="H403" t="s">
        <v>79</v>
      </c>
      <c r="I403" t="s">
        <v>628</v>
      </c>
      <c r="J403" t="str">
        <f t="shared" si="56"/>
        <v>outlook.com</v>
      </c>
      <c r="K403" t="s">
        <v>627</v>
      </c>
      <c r="L403" t="s">
        <v>626</v>
      </c>
      <c r="M403" s="2">
        <v>45033</v>
      </c>
      <c r="N403" t="s">
        <v>625</v>
      </c>
      <c r="O403" t="s">
        <v>470</v>
      </c>
      <c r="P403">
        <v>133.62</v>
      </c>
      <c r="Q403">
        <v>1</v>
      </c>
      <c r="R403" t="s">
        <v>93</v>
      </c>
      <c r="S403" s="5">
        <v>15</v>
      </c>
      <c r="T403" s="3">
        <v>5</v>
      </c>
      <c r="U403" s="4" t="str">
        <f t="shared" si="57"/>
        <v>Before_time</v>
      </c>
      <c r="V403">
        <v>66</v>
      </c>
      <c r="W403" s="3">
        <f t="shared" si="58"/>
        <v>4</v>
      </c>
      <c r="X403" s="2">
        <v>45037</v>
      </c>
      <c r="Y403" s="1">
        <f>YEAR(Table2[[#This Row],[Delivery_Date]])</f>
        <v>2023</v>
      </c>
      <c r="Z403" s="2" t="str">
        <f t="shared" si="59"/>
        <v>Apr</v>
      </c>
      <c r="AA403" t="s">
        <v>624</v>
      </c>
      <c r="AB403">
        <f t="shared" si="60"/>
        <v>179.577</v>
      </c>
      <c r="AC403">
        <f>Table2[[#This Row],[Price]]*Table2[[#This Row],[Quantity]]*Table2[[#This Row],[COUPON %]]/100</f>
        <v>20.043000000000003</v>
      </c>
      <c r="AD403">
        <f t="shared" si="61"/>
        <v>113.577</v>
      </c>
      <c r="AE403" s="1">
        <f t="shared" si="62"/>
        <v>133.62</v>
      </c>
    </row>
    <row r="404" spans="1:31" x14ac:dyDescent="0.25">
      <c r="A404" t="s">
        <v>330</v>
      </c>
      <c r="B404" t="str">
        <f t="shared" si="54"/>
        <v xml:space="preserve">Regina Hawkins </v>
      </c>
      <c r="C404" t="s">
        <v>329</v>
      </c>
      <c r="D404" t="s">
        <v>328</v>
      </c>
      <c r="E404">
        <v>47</v>
      </c>
      <c r="F404" t="str">
        <f t="shared" si="55"/>
        <v>&gt;45</v>
      </c>
      <c r="G404" t="s">
        <v>29</v>
      </c>
      <c r="H404" t="s">
        <v>107</v>
      </c>
      <c r="I404" t="s">
        <v>327</v>
      </c>
      <c r="J404" t="str">
        <f t="shared" si="56"/>
        <v>rediffmail.com</v>
      </c>
      <c r="K404" t="s">
        <v>326</v>
      </c>
      <c r="L404" t="s">
        <v>623</v>
      </c>
      <c r="M404" s="2">
        <v>45327</v>
      </c>
      <c r="N404" t="s">
        <v>622</v>
      </c>
      <c r="O404" t="s">
        <v>494</v>
      </c>
      <c r="P404">
        <v>425.59</v>
      </c>
      <c r="Q404">
        <v>3</v>
      </c>
      <c r="R404" t="s">
        <v>166</v>
      </c>
      <c r="S404" s="5">
        <v>10</v>
      </c>
      <c r="T404" s="3">
        <v>7</v>
      </c>
      <c r="U404" s="4" t="str">
        <f t="shared" si="57"/>
        <v>Before_time</v>
      </c>
      <c r="V404">
        <v>51</v>
      </c>
      <c r="W404" s="3">
        <f t="shared" si="58"/>
        <v>3</v>
      </c>
      <c r="X404" s="2">
        <v>45330</v>
      </c>
      <c r="Y404" s="1">
        <f>YEAR(Table2[[#This Row],[Delivery_Date]])</f>
        <v>2024</v>
      </c>
      <c r="Z404" s="2" t="str">
        <f t="shared" si="59"/>
        <v>Feb</v>
      </c>
      <c r="AA404" t="s">
        <v>621</v>
      </c>
      <c r="AB404">
        <f t="shared" si="60"/>
        <v>1200.0930000000001</v>
      </c>
      <c r="AC404">
        <f>Table2[[#This Row],[Price]]*Table2[[#This Row],[Quantity]]*Table2[[#This Row],[COUPON %]]/100</f>
        <v>127.67700000000001</v>
      </c>
      <c r="AD404">
        <f t="shared" si="61"/>
        <v>1149.0930000000001</v>
      </c>
      <c r="AE404" s="1">
        <f t="shared" si="62"/>
        <v>1276.77</v>
      </c>
    </row>
    <row r="405" spans="1:31" x14ac:dyDescent="0.25">
      <c r="A405" t="s">
        <v>255</v>
      </c>
      <c r="B405" t="str">
        <f t="shared" si="54"/>
        <v xml:space="preserve">Lauren Crane </v>
      </c>
      <c r="C405" t="s">
        <v>254</v>
      </c>
      <c r="D405" t="s">
        <v>253</v>
      </c>
      <c r="E405">
        <v>62</v>
      </c>
      <c r="F405" t="str">
        <f t="shared" si="55"/>
        <v>&gt;45</v>
      </c>
      <c r="G405" t="s">
        <v>29</v>
      </c>
      <c r="H405" t="s">
        <v>7</v>
      </c>
      <c r="I405" t="s">
        <v>252</v>
      </c>
      <c r="J405" t="str">
        <f t="shared" si="56"/>
        <v>yahoo.com</v>
      </c>
      <c r="K405" t="s">
        <v>251</v>
      </c>
      <c r="L405" t="s">
        <v>620</v>
      </c>
      <c r="M405" s="2">
        <v>45517</v>
      </c>
      <c r="N405" t="s">
        <v>619</v>
      </c>
      <c r="O405" t="s">
        <v>199</v>
      </c>
      <c r="P405">
        <v>477.52</v>
      </c>
      <c r="Q405">
        <v>5</v>
      </c>
      <c r="R405" t="s">
        <v>64</v>
      </c>
      <c r="S405" s="5">
        <v>20</v>
      </c>
      <c r="T405" s="3">
        <v>2</v>
      </c>
      <c r="U405" s="4" t="str">
        <f t="shared" si="57"/>
        <v>Late_Delivery</v>
      </c>
      <c r="V405">
        <v>60</v>
      </c>
      <c r="W405" s="3">
        <f t="shared" si="58"/>
        <v>3</v>
      </c>
      <c r="X405" s="2">
        <v>45520</v>
      </c>
      <c r="Y405" s="1">
        <f>YEAR(Table2[[#This Row],[Delivery_Date]])</f>
        <v>2024</v>
      </c>
      <c r="Z405" s="2" t="str">
        <f t="shared" si="59"/>
        <v>Aug</v>
      </c>
      <c r="AA405" t="s">
        <v>618</v>
      </c>
      <c r="AB405">
        <f t="shared" si="60"/>
        <v>1970.08</v>
      </c>
      <c r="AC405">
        <f>Table2[[#This Row],[Price]]*Table2[[#This Row],[Quantity]]*Table2[[#This Row],[COUPON %]]/100</f>
        <v>477.52</v>
      </c>
      <c r="AD405">
        <f t="shared" si="61"/>
        <v>1910.08</v>
      </c>
      <c r="AE405" s="1">
        <f t="shared" si="62"/>
        <v>2387.6</v>
      </c>
    </row>
    <row r="406" spans="1:31" x14ac:dyDescent="0.25">
      <c r="A406" t="s">
        <v>21</v>
      </c>
      <c r="B406" t="str">
        <f t="shared" si="54"/>
        <v xml:space="preserve">Amanda Howard </v>
      </c>
      <c r="C406" t="s">
        <v>20</v>
      </c>
      <c r="D406" t="s">
        <v>19</v>
      </c>
      <c r="E406">
        <v>52</v>
      </c>
      <c r="F406" t="str">
        <f t="shared" si="55"/>
        <v>&gt;45</v>
      </c>
      <c r="G406" t="s">
        <v>8</v>
      </c>
      <c r="H406" t="s">
        <v>18</v>
      </c>
      <c r="I406" t="s">
        <v>17</v>
      </c>
      <c r="J406" t="str">
        <f t="shared" si="56"/>
        <v>outlook.com</v>
      </c>
      <c r="K406" t="s">
        <v>16</v>
      </c>
      <c r="L406" t="s">
        <v>617</v>
      </c>
      <c r="M406" s="2">
        <v>45471</v>
      </c>
      <c r="N406" t="s">
        <v>616</v>
      </c>
      <c r="O406" t="s">
        <v>615</v>
      </c>
      <c r="P406">
        <v>282.63</v>
      </c>
      <c r="Q406">
        <v>3</v>
      </c>
      <c r="R406" t="s">
        <v>34</v>
      </c>
      <c r="S406" s="5">
        <v>8</v>
      </c>
      <c r="T406" s="3">
        <v>3</v>
      </c>
      <c r="U406" s="4" t="str">
        <f t="shared" si="57"/>
        <v>Late_Delivery</v>
      </c>
      <c r="V406">
        <v>36</v>
      </c>
      <c r="W406" s="3">
        <f t="shared" si="58"/>
        <v>7</v>
      </c>
      <c r="X406" s="2">
        <v>45478</v>
      </c>
      <c r="Y406" s="1">
        <f>YEAR(Table2[[#This Row],[Delivery_Date]])</f>
        <v>2024</v>
      </c>
      <c r="Z406" s="2" t="str">
        <f t="shared" si="59"/>
        <v>Jul</v>
      </c>
      <c r="AA406" t="s">
        <v>614</v>
      </c>
      <c r="AB406">
        <f t="shared" si="60"/>
        <v>816.05880000000002</v>
      </c>
      <c r="AC406">
        <f>Table2[[#This Row],[Price]]*Table2[[#This Row],[Quantity]]*Table2[[#This Row],[COUPON %]]/100</f>
        <v>67.831199999999995</v>
      </c>
      <c r="AD406">
        <f t="shared" si="61"/>
        <v>780.05880000000002</v>
      </c>
      <c r="AE406" s="1">
        <f t="shared" si="62"/>
        <v>847.89</v>
      </c>
    </row>
    <row r="407" spans="1:31" x14ac:dyDescent="0.25">
      <c r="A407" t="s">
        <v>613</v>
      </c>
      <c r="B407" t="str">
        <f t="shared" si="54"/>
        <v xml:space="preserve">Mary Knight </v>
      </c>
      <c r="C407" t="s">
        <v>612</v>
      </c>
      <c r="D407" t="s">
        <v>611</v>
      </c>
      <c r="E407">
        <v>28</v>
      </c>
      <c r="F407" t="str">
        <f t="shared" si="55"/>
        <v>26-35</v>
      </c>
      <c r="G407" t="s">
        <v>8</v>
      </c>
      <c r="H407" t="s">
        <v>28</v>
      </c>
      <c r="I407" t="s">
        <v>610</v>
      </c>
      <c r="J407" t="str">
        <f t="shared" si="56"/>
        <v>yahoo.com</v>
      </c>
      <c r="K407" t="s">
        <v>609</v>
      </c>
      <c r="L407" t="s">
        <v>608</v>
      </c>
      <c r="M407" s="2">
        <v>45350</v>
      </c>
      <c r="N407" t="s">
        <v>607</v>
      </c>
      <c r="O407" t="s">
        <v>347</v>
      </c>
      <c r="P407">
        <v>157.63999999999999</v>
      </c>
      <c r="Q407">
        <v>1</v>
      </c>
      <c r="R407" t="s">
        <v>64</v>
      </c>
      <c r="S407" s="5">
        <v>20</v>
      </c>
      <c r="T407" s="3">
        <v>1</v>
      </c>
      <c r="U407" s="4" t="str">
        <f t="shared" si="57"/>
        <v>Late_Delivery</v>
      </c>
      <c r="V407">
        <v>59</v>
      </c>
      <c r="W407" s="3">
        <f t="shared" si="58"/>
        <v>6</v>
      </c>
      <c r="X407" s="2">
        <v>45356</v>
      </c>
      <c r="Y407" s="1">
        <f>YEAR(Table2[[#This Row],[Delivery_Date]])</f>
        <v>2024</v>
      </c>
      <c r="Z407" s="2" t="str">
        <f t="shared" si="59"/>
        <v>Mar</v>
      </c>
      <c r="AA407" t="s">
        <v>606</v>
      </c>
      <c r="AB407">
        <f t="shared" si="60"/>
        <v>185.11199999999999</v>
      </c>
      <c r="AC407">
        <f>Table2[[#This Row],[Price]]*Table2[[#This Row],[Quantity]]*Table2[[#This Row],[COUPON %]]/100</f>
        <v>31.527999999999999</v>
      </c>
      <c r="AD407">
        <f t="shared" si="61"/>
        <v>126.11199999999999</v>
      </c>
      <c r="AE407" s="1">
        <f t="shared" si="62"/>
        <v>157.63999999999999</v>
      </c>
    </row>
    <row r="408" spans="1:31" x14ac:dyDescent="0.25">
      <c r="A408" t="s">
        <v>43</v>
      </c>
      <c r="B408" t="str">
        <f t="shared" si="54"/>
        <v xml:space="preserve">Katie Hicks </v>
      </c>
      <c r="C408" t="s">
        <v>42</v>
      </c>
      <c r="D408" t="s">
        <v>41</v>
      </c>
      <c r="E408">
        <v>34</v>
      </c>
      <c r="F408" t="str">
        <f t="shared" si="55"/>
        <v>26-35</v>
      </c>
      <c r="G408" t="s">
        <v>8</v>
      </c>
      <c r="H408" t="s">
        <v>40</v>
      </c>
      <c r="I408" t="s">
        <v>39</v>
      </c>
      <c r="J408" t="str">
        <f t="shared" si="56"/>
        <v>rediffmail.com</v>
      </c>
      <c r="K408" t="s">
        <v>38</v>
      </c>
      <c r="L408" t="s">
        <v>605</v>
      </c>
      <c r="M408" s="2">
        <v>45449</v>
      </c>
      <c r="N408" t="s">
        <v>604</v>
      </c>
      <c r="O408" t="s">
        <v>131</v>
      </c>
      <c r="P408">
        <v>48.45</v>
      </c>
      <c r="Q408">
        <v>1</v>
      </c>
      <c r="R408" t="s">
        <v>166</v>
      </c>
      <c r="S408" s="5">
        <v>10</v>
      </c>
      <c r="T408" s="3">
        <v>5</v>
      </c>
      <c r="U408" s="4" t="str">
        <f t="shared" si="57"/>
        <v>Late_Delivery</v>
      </c>
      <c r="V408">
        <v>38</v>
      </c>
      <c r="W408" s="3">
        <f t="shared" si="58"/>
        <v>7</v>
      </c>
      <c r="X408" s="2">
        <v>45456</v>
      </c>
      <c r="Y408" s="1">
        <f>YEAR(Table2[[#This Row],[Delivery_Date]])</f>
        <v>2024</v>
      </c>
      <c r="Z408" s="2" t="str">
        <f t="shared" si="59"/>
        <v>Jun</v>
      </c>
      <c r="AA408" t="s">
        <v>603</v>
      </c>
      <c r="AB408">
        <f t="shared" si="60"/>
        <v>81.605000000000004</v>
      </c>
      <c r="AC408">
        <f>Table2[[#This Row],[Price]]*Table2[[#This Row],[Quantity]]*Table2[[#This Row],[COUPON %]]/100</f>
        <v>4.8449999999999998</v>
      </c>
      <c r="AD408">
        <f t="shared" si="61"/>
        <v>43.605000000000004</v>
      </c>
      <c r="AE408" s="1">
        <f t="shared" si="62"/>
        <v>48.45</v>
      </c>
    </row>
    <row r="409" spans="1:31" x14ac:dyDescent="0.25">
      <c r="A409" t="s">
        <v>484</v>
      </c>
      <c r="B409" t="str">
        <f t="shared" si="54"/>
        <v xml:space="preserve">David Delacruz </v>
      </c>
      <c r="C409" t="s">
        <v>483</v>
      </c>
      <c r="D409" t="s">
        <v>482</v>
      </c>
      <c r="E409">
        <v>26</v>
      </c>
      <c r="F409" t="str">
        <f t="shared" si="55"/>
        <v>26-35</v>
      </c>
      <c r="G409" t="s">
        <v>29</v>
      </c>
      <c r="H409" t="s">
        <v>118</v>
      </c>
      <c r="I409" t="s">
        <v>481</v>
      </c>
      <c r="J409" t="str">
        <f t="shared" si="56"/>
        <v>rediffmail.com</v>
      </c>
      <c r="K409" t="s">
        <v>480</v>
      </c>
      <c r="L409" t="s">
        <v>602</v>
      </c>
      <c r="M409" s="2">
        <v>45359</v>
      </c>
      <c r="N409" t="s">
        <v>601</v>
      </c>
      <c r="O409" t="s">
        <v>600</v>
      </c>
      <c r="P409">
        <v>292.14999999999998</v>
      </c>
      <c r="Q409">
        <v>1</v>
      </c>
      <c r="R409" t="s">
        <v>64</v>
      </c>
      <c r="S409" s="5">
        <v>20</v>
      </c>
      <c r="T409" s="3">
        <v>5</v>
      </c>
      <c r="U409" s="4" t="str">
        <f t="shared" si="57"/>
        <v>Late_Delivery</v>
      </c>
      <c r="V409">
        <v>57</v>
      </c>
      <c r="W409" s="3">
        <f t="shared" si="58"/>
        <v>6</v>
      </c>
      <c r="X409" s="2">
        <v>45365</v>
      </c>
      <c r="Y409" s="1">
        <f>YEAR(Table2[[#This Row],[Delivery_Date]])</f>
        <v>2024</v>
      </c>
      <c r="Z409" s="2" t="str">
        <f t="shared" si="59"/>
        <v>Mar</v>
      </c>
      <c r="AA409" t="s">
        <v>599</v>
      </c>
      <c r="AB409">
        <f t="shared" si="60"/>
        <v>290.72000000000003</v>
      </c>
      <c r="AC409">
        <f>Table2[[#This Row],[Price]]*Table2[[#This Row],[Quantity]]*Table2[[#This Row],[COUPON %]]/100</f>
        <v>58.43</v>
      </c>
      <c r="AD409">
        <f t="shared" si="61"/>
        <v>233.72</v>
      </c>
      <c r="AE409" s="1">
        <f t="shared" si="62"/>
        <v>292.14999999999998</v>
      </c>
    </row>
    <row r="410" spans="1:31" x14ac:dyDescent="0.25">
      <c r="A410" t="s">
        <v>598</v>
      </c>
      <c r="B410" t="str">
        <f t="shared" si="54"/>
        <v xml:space="preserve">Rachel Lopez </v>
      </c>
      <c r="C410" t="s">
        <v>597</v>
      </c>
      <c r="D410" t="s">
        <v>596</v>
      </c>
      <c r="E410">
        <v>57</v>
      </c>
      <c r="F410" t="str">
        <f t="shared" si="55"/>
        <v>&gt;45</v>
      </c>
      <c r="G410" t="s">
        <v>29</v>
      </c>
      <c r="H410" t="s">
        <v>118</v>
      </c>
      <c r="I410" t="s">
        <v>595</v>
      </c>
      <c r="J410" t="str">
        <f t="shared" si="56"/>
        <v>outlook.com</v>
      </c>
      <c r="K410" t="s">
        <v>594</v>
      </c>
      <c r="L410" t="s">
        <v>593</v>
      </c>
      <c r="M410" s="2">
        <v>45333</v>
      </c>
      <c r="N410" t="s">
        <v>592</v>
      </c>
      <c r="O410" t="s">
        <v>531</v>
      </c>
      <c r="P410">
        <v>20</v>
      </c>
      <c r="Q410">
        <v>4</v>
      </c>
      <c r="R410" t="s">
        <v>64</v>
      </c>
      <c r="S410" s="5">
        <v>20</v>
      </c>
      <c r="T410" s="3">
        <v>1</v>
      </c>
      <c r="U410" s="4" t="str">
        <f t="shared" si="57"/>
        <v>On_time</v>
      </c>
      <c r="V410">
        <v>51</v>
      </c>
      <c r="W410" s="3">
        <f t="shared" si="58"/>
        <v>1</v>
      </c>
      <c r="X410" s="2">
        <v>45334</v>
      </c>
      <c r="Y410" s="1">
        <f>YEAR(Table2[[#This Row],[Delivery_Date]])</f>
        <v>2024</v>
      </c>
      <c r="Z410" s="2" t="str">
        <f t="shared" si="59"/>
        <v>Feb</v>
      </c>
      <c r="AA410" t="s">
        <v>591</v>
      </c>
      <c r="AB410">
        <f t="shared" si="60"/>
        <v>115</v>
      </c>
      <c r="AC410">
        <f>Table2[[#This Row],[Price]]*Table2[[#This Row],[Quantity]]*Table2[[#This Row],[COUPON %]]/100</f>
        <v>16</v>
      </c>
      <c r="AD410">
        <f t="shared" si="61"/>
        <v>64</v>
      </c>
      <c r="AE410" s="1">
        <f t="shared" si="62"/>
        <v>80</v>
      </c>
    </row>
    <row r="411" spans="1:31" x14ac:dyDescent="0.25">
      <c r="A411" t="s">
        <v>271</v>
      </c>
      <c r="B411" t="str">
        <f t="shared" si="54"/>
        <v xml:space="preserve">Amy Griffin </v>
      </c>
      <c r="C411" t="s">
        <v>270</v>
      </c>
      <c r="D411" t="s">
        <v>269</v>
      </c>
      <c r="E411">
        <v>29</v>
      </c>
      <c r="F411" t="str">
        <f t="shared" si="55"/>
        <v>26-35</v>
      </c>
      <c r="G411" t="s">
        <v>108</v>
      </c>
      <c r="H411" t="s">
        <v>7</v>
      </c>
      <c r="I411" t="s">
        <v>268</v>
      </c>
      <c r="J411" t="str">
        <f t="shared" si="56"/>
        <v>rediffmail.com</v>
      </c>
      <c r="K411" t="s">
        <v>267</v>
      </c>
      <c r="L411" t="s">
        <v>590</v>
      </c>
      <c r="M411" s="2">
        <v>45681</v>
      </c>
      <c r="N411" t="s">
        <v>589</v>
      </c>
      <c r="O411" t="s">
        <v>131</v>
      </c>
      <c r="P411">
        <v>48.45</v>
      </c>
      <c r="Q411">
        <v>2</v>
      </c>
      <c r="R411" t="s">
        <v>93</v>
      </c>
      <c r="S411" s="5">
        <v>15</v>
      </c>
      <c r="T411" s="3">
        <v>7</v>
      </c>
      <c r="U411" s="4" t="str">
        <f t="shared" si="57"/>
        <v>Before_time</v>
      </c>
      <c r="V411">
        <v>56</v>
      </c>
      <c r="W411" s="3">
        <f t="shared" si="58"/>
        <v>6</v>
      </c>
      <c r="X411" s="2">
        <v>45687</v>
      </c>
      <c r="Y411" s="1">
        <f>YEAR(Table2[[#This Row],[Delivery_Date]])</f>
        <v>2025</v>
      </c>
      <c r="Z411" s="2" t="str">
        <f t="shared" si="59"/>
        <v>Jan</v>
      </c>
      <c r="AA411" t="s">
        <v>588</v>
      </c>
      <c r="AB411">
        <f t="shared" si="60"/>
        <v>138.36500000000001</v>
      </c>
      <c r="AC411">
        <f>Table2[[#This Row],[Price]]*Table2[[#This Row],[Quantity]]*Table2[[#This Row],[COUPON %]]/100</f>
        <v>14.535</v>
      </c>
      <c r="AD411">
        <f t="shared" si="61"/>
        <v>82.365000000000009</v>
      </c>
      <c r="AE411" s="1">
        <f t="shared" si="62"/>
        <v>96.9</v>
      </c>
    </row>
    <row r="412" spans="1:31" x14ac:dyDescent="0.25">
      <c r="A412" t="s">
        <v>218</v>
      </c>
      <c r="B412" t="str">
        <f t="shared" si="54"/>
        <v xml:space="preserve">Beth Mason </v>
      </c>
      <c r="C412" t="s">
        <v>217</v>
      </c>
      <c r="D412" t="s">
        <v>216</v>
      </c>
      <c r="E412">
        <v>45</v>
      </c>
      <c r="F412" t="str">
        <f t="shared" si="55"/>
        <v>36-45</v>
      </c>
      <c r="G412" t="s">
        <v>8</v>
      </c>
      <c r="H412" t="s">
        <v>118</v>
      </c>
      <c r="I412" t="s">
        <v>215</v>
      </c>
      <c r="J412" t="str">
        <f t="shared" si="56"/>
        <v>outlook.com</v>
      </c>
      <c r="K412" t="s">
        <v>214</v>
      </c>
      <c r="L412" t="s">
        <v>587</v>
      </c>
      <c r="M412" s="2">
        <v>45190</v>
      </c>
      <c r="N412" t="s">
        <v>586</v>
      </c>
      <c r="O412" t="s">
        <v>582</v>
      </c>
      <c r="P412">
        <v>126.19</v>
      </c>
      <c r="Q412">
        <v>2</v>
      </c>
      <c r="R412" t="s">
        <v>64</v>
      </c>
      <c r="S412" s="5">
        <v>20</v>
      </c>
      <c r="T412" s="3">
        <v>4</v>
      </c>
      <c r="U412" s="4" t="str">
        <f t="shared" si="57"/>
        <v>Late_Delivery</v>
      </c>
      <c r="V412">
        <v>67</v>
      </c>
      <c r="W412" s="3">
        <f t="shared" si="58"/>
        <v>6</v>
      </c>
      <c r="X412" s="2">
        <v>45196</v>
      </c>
      <c r="Y412" s="1">
        <f>YEAR(Table2[[#This Row],[Delivery_Date]])</f>
        <v>2023</v>
      </c>
      <c r="Z412" s="2" t="str">
        <f t="shared" si="59"/>
        <v>Sep</v>
      </c>
      <c r="AA412" t="s">
        <v>585</v>
      </c>
      <c r="AB412">
        <f t="shared" si="60"/>
        <v>268.904</v>
      </c>
      <c r="AC412">
        <f>Table2[[#This Row],[Price]]*Table2[[#This Row],[Quantity]]*Table2[[#This Row],[COUPON %]]/100</f>
        <v>50.476000000000006</v>
      </c>
      <c r="AD412">
        <f t="shared" si="61"/>
        <v>201.904</v>
      </c>
      <c r="AE412" s="1">
        <f t="shared" si="62"/>
        <v>252.38</v>
      </c>
    </row>
    <row r="413" spans="1:31" x14ac:dyDescent="0.25">
      <c r="A413" t="s">
        <v>537</v>
      </c>
      <c r="B413" t="str">
        <f t="shared" si="54"/>
        <v xml:space="preserve">Lauren Lane </v>
      </c>
      <c r="C413" t="s">
        <v>254</v>
      </c>
      <c r="D413" t="s">
        <v>536</v>
      </c>
      <c r="E413">
        <v>30</v>
      </c>
      <c r="F413" t="str">
        <f t="shared" si="55"/>
        <v>26-35</v>
      </c>
      <c r="G413" t="s">
        <v>108</v>
      </c>
      <c r="H413" t="s">
        <v>18</v>
      </c>
      <c r="I413" t="s">
        <v>535</v>
      </c>
      <c r="J413" t="str">
        <f t="shared" si="56"/>
        <v>gmail.com</v>
      </c>
      <c r="K413" t="s">
        <v>534</v>
      </c>
      <c r="L413" t="s">
        <v>584</v>
      </c>
      <c r="M413" s="2">
        <v>45393</v>
      </c>
      <c r="N413" t="s">
        <v>583</v>
      </c>
      <c r="O413" t="s">
        <v>582</v>
      </c>
      <c r="P413">
        <v>126.19</v>
      </c>
      <c r="Q413">
        <v>4</v>
      </c>
      <c r="R413" t="s">
        <v>34</v>
      </c>
      <c r="S413" s="5">
        <v>8</v>
      </c>
      <c r="T413" s="3">
        <v>5</v>
      </c>
      <c r="U413" s="4" t="str">
        <f t="shared" si="57"/>
        <v>Before_time</v>
      </c>
      <c r="V413">
        <v>69</v>
      </c>
      <c r="W413" s="3">
        <f t="shared" si="58"/>
        <v>3</v>
      </c>
      <c r="X413" s="2">
        <v>45396</v>
      </c>
      <c r="Y413" s="1">
        <f>YEAR(Table2[[#This Row],[Delivery_Date]])</f>
        <v>2024</v>
      </c>
      <c r="Z413" s="2" t="str">
        <f t="shared" si="59"/>
        <v>Apr</v>
      </c>
      <c r="AA413" t="s">
        <v>581</v>
      </c>
      <c r="AB413">
        <f t="shared" si="60"/>
        <v>533.37920000000008</v>
      </c>
      <c r="AC413">
        <f>Table2[[#This Row],[Price]]*Table2[[#This Row],[Quantity]]*Table2[[#This Row],[COUPON %]]/100</f>
        <v>40.380800000000001</v>
      </c>
      <c r="AD413">
        <f t="shared" si="61"/>
        <v>464.37920000000003</v>
      </c>
      <c r="AE413" s="1">
        <f t="shared" si="62"/>
        <v>504.76</v>
      </c>
    </row>
    <row r="414" spans="1:31" x14ac:dyDescent="0.25">
      <c r="A414" t="s">
        <v>243</v>
      </c>
      <c r="B414" t="str">
        <f t="shared" si="54"/>
        <v xml:space="preserve">Heather Schneider </v>
      </c>
      <c r="C414" t="s">
        <v>242</v>
      </c>
      <c r="D414" t="s">
        <v>241</v>
      </c>
      <c r="E414">
        <v>48</v>
      </c>
      <c r="F414" t="str">
        <f t="shared" si="55"/>
        <v>&gt;45</v>
      </c>
      <c r="G414" t="s">
        <v>29</v>
      </c>
      <c r="H414" t="s">
        <v>118</v>
      </c>
      <c r="I414" t="s">
        <v>240</v>
      </c>
      <c r="J414" t="str">
        <f t="shared" si="56"/>
        <v>outlook.com</v>
      </c>
      <c r="K414" t="s">
        <v>239</v>
      </c>
      <c r="L414" t="s">
        <v>580</v>
      </c>
      <c r="M414" s="2">
        <v>45399</v>
      </c>
      <c r="N414" t="s">
        <v>579</v>
      </c>
      <c r="O414" t="s">
        <v>264</v>
      </c>
      <c r="P414">
        <v>496.59</v>
      </c>
      <c r="Q414">
        <v>3</v>
      </c>
      <c r="R414" t="s">
        <v>1</v>
      </c>
      <c r="S414" s="5">
        <v>0</v>
      </c>
      <c r="T414" s="3">
        <v>3</v>
      </c>
      <c r="U414" s="4" t="str">
        <f t="shared" si="57"/>
        <v>Late_Delivery</v>
      </c>
      <c r="V414">
        <v>49</v>
      </c>
      <c r="W414" s="3">
        <f t="shared" si="58"/>
        <v>7</v>
      </c>
      <c r="X414" s="2">
        <v>45406</v>
      </c>
      <c r="Y414" s="1">
        <f>YEAR(Table2[[#This Row],[Delivery_Date]])</f>
        <v>2024</v>
      </c>
      <c r="Z414" s="2" t="str">
        <f t="shared" si="59"/>
        <v>Apr</v>
      </c>
      <c r="AA414" t="s">
        <v>578</v>
      </c>
      <c r="AB414">
        <f t="shared" si="60"/>
        <v>1538.77</v>
      </c>
      <c r="AC414">
        <f>Table2[[#This Row],[Price]]*Table2[[#This Row],[Quantity]]*Table2[[#This Row],[COUPON %]]/100</f>
        <v>0</v>
      </c>
      <c r="AD414">
        <f t="shared" si="61"/>
        <v>1489.77</v>
      </c>
      <c r="AE414" s="1">
        <f t="shared" si="62"/>
        <v>1489.77</v>
      </c>
    </row>
    <row r="415" spans="1:31" x14ac:dyDescent="0.25">
      <c r="A415" t="s">
        <v>444</v>
      </c>
      <c r="B415" t="str">
        <f t="shared" si="54"/>
        <v xml:space="preserve">Donna Oneill </v>
      </c>
      <c r="C415" t="s">
        <v>443</v>
      </c>
      <c r="D415" t="s">
        <v>442</v>
      </c>
      <c r="E415">
        <v>70</v>
      </c>
      <c r="F415" t="str">
        <f t="shared" si="55"/>
        <v>&gt;45</v>
      </c>
      <c r="G415" t="s">
        <v>108</v>
      </c>
      <c r="H415" t="s">
        <v>79</v>
      </c>
      <c r="I415" t="s">
        <v>441</v>
      </c>
      <c r="J415" t="str">
        <f t="shared" si="56"/>
        <v>yahoo.com</v>
      </c>
      <c r="K415" t="s">
        <v>440</v>
      </c>
      <c r="L415" t="s">
        <v>577</v>
      </c>
      <c r="M415" s="2">
        <v>45396</v>
      </c>
      <c r="N415" t="s">
        <v>576</v>
      </c>
      <c r="O415" t="s">
        <v>13</v>
      </c>
      <c r="P415">
        <v>424.82</v>
      </c>
      <c r="Q415">
        <v>4</v>
      </c>
      <c r="R415" t="s">
        <v>93</v>
      </c>
      <c r="S415" s="5">
        <v>15</v>
      </c>
      <c r="T415" s="3">
        <v>1</v>
      </c>
      <c r="U415" s="4" t="str">
        <f t="shared" si="57"/>
        <v>Late_Delivery</v>
      </c>
      <c r="V415">
        <v>70</v>
      </c>
      <c r="W415" s="3">
        <f t="shared" si="58"/>
        <v>6</v>
      </c>
      <c r="X415" s="2">
        <v>45402</v>
      </c>
      <c r="Y415" s="1">
        <f>YEAR(Table2[[#This Row],[Delivery_Date]])</f>
        <v>2024</v>
      </c>
      <c r="Z415" s="2" t="str">
        <f t="shared" si="59"/>
        <v>Apr</v>
      </c>
      <c r="AA415" t="s">
        <v>575</v>
      </c>
      <c r="AB415">
        <f t="shared" si="60"/>
        <v>1514.3879999999999</v>
      </c>
      <c r="AC415">
        <f>Table2[[#This Row],[Price]]*Table2[[#This Row],[Quantity]]*Table2[[#This Row],[COUPON %]]/100</f>
        <v>254.892</v>
      </c>
      <c r="AD415">
        <f t="shared" si="61"/>
        <v>1444.3879999999999</v>
      </c>
      <c r="AE415" s="1">
        <f t="shared" si="62"/>
        <v>1699.28</v>
      </c>
    </row>
    <row r="416" spans="1:31" x14ac:dyDescent="0.25">
      <c r="A416" t="s">
        <v>72</v>
      </c>
      <c r="B416" t="str">
        <f t="shared" si="54"/>
        <v xml:space="preserve">Gina Moreno </v>
      </c>
      <c r="C416" t="s">
        <v>71</v>
      </c>
      <c r="D416" t="s">
        <v>70</v>
      </c>
      <c r="E416">
        <v>36</v>
      </c>
      <c r="F416" t="str">
        <f t="shared" si="55"/>
        <v>36-45</v>
      </c>
      <c r="G416" t="s">
        <v>8</v>
      </c>
      <c r="H416" t="s">
        <v>59</v>
      </c>
      <c r="I416" t="s">
        <v>69</v>
      </c>
      <c r="J416" t="str">
        <f t="shared" si="56"/>
        <v>rediffmail.com</v>
      </c>
      <c r="K416" t="s">
        <v>68</v>
      </c>
      <c r="L416" t="s">
        <v>574</v>
      </c>
      <c r="M416" s="2">
        <v>45194</v>
      </c>
      <c r="N416" t="s">
        <v>573</v>
      </c>
      <c r="O416" t="s">
        <v>531</v>
      </c>
      <c r="P416">
        <v>20</v>
      </c>
      <c r="Q416">
        <v>2</v>
      </c>
      <c r="R416" t="s">
        <v>166</v>
      </c>
      <c r="S416" s="5">
        <v>10</v>
      </c>
      <c r="T416" s="3">
        <v>1</v>
      </c>
      <c r="U416" s="4" t="str">
        <f t="shared" si="57"/>
        <v>On_time</v>
      </c>
      <c r="V416">
        <v>68</v>
      </c>
      <c r="W416" s="3">
        <f t="shared" si="58"/>
        <v>1</v>
      </c>
      <c r="X416" s="2">
        <v>45195</v>
      </c>
      <c r="Y416" s="1">
        <f>YEAR(Table2[[#This Row],[Delivery_Date]])</f>
        <v>2023</v>
      </c>
      <c r="Z416" s="2" t="str">
        <f t="shared" si="59"/>
        <v>Sep</v>
      </c>
      <c r="AA416" t="s">
        <v>572</v>
      </c>
      <c r="AB416">
        <f t="shared" si="60"/>
        <v>104</v>
      </c>
      <c r="AC416">
        <f>Table2[[#This Row],[Price]]*Table2[[#This Row],[Quantity]]*Table2[[#This Row],[COUPON %]]/100</f>
        <v>4</v>
      </c>
      <c r="AD416">
        <f t="shared" si="61"/>
        <v>36</v>
      </c>
      <c r="AE416" s="1">
        <f t="shared" si="62"/>
        <v>40</v>
      </c>
    </row>
    <row r="417" spans="1:31" x14ac:dyDescent="0.25">
      <c r="A417" t="s">
        <v>330</v>
      </c>
      <c r="B417" t="str">
        <f t="shared" si="54"/>
        <v xml:space="preserve">Regina Hawkins </v>
      </c>
      <c r="C417" t="s">
        <v>329</v>
      </c>
      <c r="D417" t="s">
        <v>328</v>
      </c>
      <c r="E417">
        <v>47</v>
      </c>
      <c r="F417" t="str">
        <f t="shared" si="55"/>
        <v>&gt;45</v>
      </c>
      <c r="G417" t="s">
        <v>29</v>
      </c>
      <c r="H417" t="s">
        <v>107</v>
      </c>
      <c r="I417" t="s">
        <v>327</v>
      </c>
      <c r="J417" t="str">
        <f t="shared" si="56"/>
        <v>rediffmail.com</v>
      </c>
      <c r="K417" t="s">
        <v>326</v>
      </c>
      <c r="L417" t="s">
        <v>571</v>
      </c>
      <c r="M417" s="2">
        <v>45216</v>
      </c>
      <c r="N417" t="s">
        <v>570</v>
      </c>
      <c r="O417" t="s">
        <v>569</v>
      </c>
      <c r="P417">
        <v>202.54</v>
      </c>
      <c r="Q417">
        <v>5</v>
      </c>
      <c r="R417" t="s">
        <v>166</v>
      </c>
      <c r="S417" s="5">
        <v>10</v>
      </c>
      <c r="T417" s="3">
        <v>4</v>
      </c>
      <c r="U417" s="4" t="str">
        <f t="shared" si="57"/>
        <v>Before_time</v>
      </c>
      <c r="V417">
        <v>58</v>
      </c>
      <c r="W417" s="3">
        <f t="shared" si="58"/>
        <v>2</v>
      </c>
      <c r="X417" s="2">
        <v>45218</v>
      </c>
      <c r="Y417" s="1">
        <f>YEAR(Table2[[#This Row],[Delivery_Date]])</f>
        <v>2023</v>
      </c>
      <c r="Z417" s="2" t="str">
        <f t="shared" si="59"/>
        <v>Oct</v>
      </c>
      <c r="AA417" t="s">
        <v>568</v>
      </c>
      <c r="AB417">
        <f t="shared" si="60"/>
        <v>969.43</v>
      </c>
      <c r="AC417">
        <f>Table2[[#This Row],[Price]]*Table2[[#This Row],[Quantity]]*Table2[[#This Row],[COUPON %]]/100</f>
        <v>101.27</v>
      </c>
      <c r="AD417">
        <f t="shared" si="61"/>
        <v>911.43</v>
      </c>
      <c r="AE417" s="1">
        <f t="shared" si="62"/>
        <v>1012.6999999999999</v>
      </c>
    </row>
    <row r="418" spans="1:31" x14ac:dyDescent="0.25">
      <c r="A418" t="s">
        <v>72</v>
      </c>
      <c r="B418" t="str">
        <f t="shared" si="54"/>
        <v xml:space="preserve">Gina Moreno </v>
      </c>
      <c r="C418" t="s">
        <v>71</v>
      </c>
      <c r="D418" t="s">
        <v>70</v>
      </c>
      <c r="E418">
        <v>36</v>
      </c>
      <c r="F418" t="str">
        <f t="shared" si="55"/>
        <v>36-45</v>
      </c>
      <c r="G418" t="s">
        <v>8</v>
      </c>
      <c r="H418" t="s">
        <v>59</v>
      </c>
      <c r="I418" t="s">
        <v>69</v>
      </c>
      <c r="J418" t="str">
        <f t="shared" si="56"/>
        <v>rediffmail.com</v>
      </c>
      <c r="K418" t="s">
        <v>68</v>
      </c>
      <c r="L418" t="s">
        <v>567</v>
      </c>
      <c r="M418" s="2">
        <v>45368</v>
      </c>
      <c r="N418" t="s">
        <v>566</v>
      </c>
      <c r="O418" t="s">
        <v>519</v>
      </c>
      <c r="P418">
        <v>136.30000000000001</v>
      </c>
      <c r="Q418">
        <v>4</v>
      </c>
      <c r="R418" t="s">
        <v>34</v>
      </c>
      <c r="S418" s="5">
        <v>8</v>
      </c>
      <c r="T418" s="3">
        <v>6</v>
      </c>
      <c r="U418" s="4" t="str">
        <f t="shared" si="57"/>
        <v>Before_time</v>
      </c>
      <c r="V418">
        <v>52</v>
      </c>
      <c r="W418" s="3">
        <f t="shared" si="58"/>
        <v>3</v>
      </c>
      <c r="X418" s="2">
        <v>45371</v>
      </c>
      <c r="Y418" s="1">
        <f>YEAR(Table2[[#This Row],[Delivery_Date]])</f>
        <v>2024</v>
      </c>
      <c r="Z418" s="2" t="str">
        <f t="shared" si="59"/>
        <v>Mar</v>
      </c>
      <c r="AA418" t="s">
        <v>565</v>
      </c>
      <c r="AB418">
        <f t="shared" si="60"/>
        <v>553.58400000000006</v>
      </c>
      <c r="AC418">
        <f>Table2[[#This Row],[Price]]*Table2[[#This Row],[Quantity]]*Table2[[#This Row],[COUPON %]]/100</f>
        <v>43.616000000000007</v>
      </c>
      <c r="AD418">
        <f t="shared" si="61"/>
        <v>501.58400000000006</v>
      </c>
      <c r="AE418" s="1">
        <f t="shared" si="62"/>
        <v>545.20000000000005</v>
      </c>
    </row>
    <row r="419" spans="1:31" x14ac:dyDescent="0.25">
      <c r="A419" t="s">
        <v>564</v>
      </c>
      <c r="B419" t="str">
        <f t="shared" si="54"/>
        <v xml:space="preserve">Debra Rodriguez </v>
      </c>
      <c r="C419" t="s">
        <v>230</v>
      </c>
      <c r="D419" t="s">
        <v>563</v>
      </c>
      <c r="E419">
        <v>48</v>
      </c>
      <c r="F419" t="str">
        <f t="shared" si="55"/>
        <v>&gt;45</v>
      </c>
      <c r="G419" t="s">
        <v>8</v>
      </c>
      <c r="H419" t="s">
        <v>7</v>
      </c>
      <c r="I419" t="s">
        <v>562</v>
      </c>
      <c r="J419" t="str">
        <f t="shared" si="56"/>
        <v>rediffmail.com</v>
      </c>
      <c r="K419" t="s">
        <v>561</v>
      </c>
      <c r="L419" t="s">
        <v>560</v>
      </c>
      <c r="M419" s="2">
        <v>45661</v>
      </c>
      <c r="N419" t="s">
        <v>559</v>
      </c>
      <c r="O419" t="s">
        <v>347</v>
      </c>
      <c r="P419">
        <v>157.63999999999999</v>
      </c>
      <c r="Q419">
        <v>4</v>
      </c>
      <c r="R419" t="s">
        <v>1</v>
      </c>
      <c r="S419" s="5">
        <v>0</v>
      </c>
      <c r="T419" s="3">
        <v>7</v>
      </c>
      <c r="U419" s="4" t="str">
        <f t="shared" si="57"/>
        <v>Before_time</v>
      </c>
      <c r="V419">
        <v>42</v>
      </c>
      <c r="W419" s="3">
        <f t="shared" si="58"/>
        <v>2</v>
      </c>
      <c r="X419" s="2">
        <v>45663</v>
      </c>
      <c r="Y419" s="1">
        <f>YEAR(Table2[[#This Row],[Delivery_Date]])</f>
        <v>2025</v>
      </c>
      <c r="Z419" s="2" t="str">
        <f t="shared" si="59"/>
        <v>Jan</v>
      </c>
      <c r="AA419" t="s">
        <v>558</v>
      </c>
      <c r="AB419">
        <f t="shared" si="60"/>
        <v>672.56</v>
      </c>
      <c r="AC419">
        <f>Table2[[#This Row],[Price]]*Table2[[#This Row],[Quantity]]*Table2[[#This Row],[COUPON %]]/100</f>
        <v>0</v>
      </c>
      <c r="AD419">
        <f t="shared" si="61"/>
        <v>630.55999999999995</v>
      </c>
      <c r="AE419" s="1">
        <f t="shared" si="62"/>
        <v>630.55999999999995</v>
      </c>
    </row>
    <row r="420" spans="1:31" x14ac:dyDescent="0.25">
      <c r="A420" t="s">
        <v>557</v>
      </c>
      <c r="B420" t="str">
        <f t="shared" si="54"/>
        <v xml:space="preserve">Sarah Butler </v>
      </c>
      <c r="C420" t="s">
        <v>556</v>
      </c>
      <c r="D420" t="s">
        <v>555</v>
      </c>
      <c r="E420">
        <v>64</v>
      </c>
      <c r="F420" t="str">
        <f t="shared" si="55"/>
        <v>&gt;45</v>
      </c>
      <c r="G420" t="s">
        <v>108</v>
      </c>
      <c r="H420" t="s">
        <v>107</v>
      </c>
      <c r="I420" t="s">
        <v>554</v>
      </c>
      <c r="J420" t="str">
        <f t="shared" si="56"/>
        <v>rediffmail.com</v>
      </c>
      <c r="K420" t="s">
        <v>553</v>
      </c>
      <c r="L420" t="s">
        <v>552</v>
      </c>
      <c r="M420" s="2">
        <v>45147</v>
      </c>
      <c r="N420" t="s">
        <v>551</v>
      </c>
      <c r="O420" t="s">
        <v>123</v>
      </c>
      <c r="P420">
        <v>107.47</v>
      </c>
      <c r="Q420">
        <v>5</v>
      </c>
      <c r="R420" t="s">
        <v>64</v>
      </c>
      <c r="S420" s="5">
        <v>20</v>
      </c>
      <c r="T420" s="3">
        <v>6</v>
      </c>
      <c r="U420" s="4" t="str">
        <f t="shared" si="57"/>
        <v>Before_time</v>
      </c>
      <c r="V420">
        <v>47</v>
      </c>
      <c r="W420" s="3">
        <f t="shared" si="58"/>
        <v>2</v>
      </c>
      <c r="X420" s="2">
        <v>45149</v>
      </c>
      <c r="Y420" s="1">
        <f>YEAR(Table2[[#This Row],[Delivery_Date]])</f>
        <v>2023</v>
      </c>
      <c r="Z420" s="2" t="str">
        <f t="shared" si="59"/>
        <v>Aug</v>
      </c>
      <c r="AA420" t="s">
        <v>550</v>
      </c>
      <c r="AB420">
        <f t="shared" si="60"/>
        <v>476.88000000000005</v>
      </c>
      <c r="AC420">
        <f>Table2[[#This Row],[Price]]*Table2[[#This Row],[Quantity]]*Table2[[#This Row],[COUPON %]]/100</f>
        <v>107.47</v>
      </c>
      <c r="AD420">
        <f t="shared" si="61"/>
        <v>429.88000000000005</v>
      </c>
      <c r="AE420" s="1">
        <f t="shared" si="62"/>
        <v>537.35</v>
      </c>
    </row>
    <row r="421" spans="1:31" x14ac:dyDescent="0.25">
      <c r="A421" t="s">
        <v>353</v>
      </c>
      <c r="B421" t="str">
        <f t="shared" si="54"/>
        <v xml:space="preserve">Timothy Hicks </v>
      </c>
      <c r="C421" t="s">
        <v>352</v>
      </c>
      <c r="D421" t="s">
        <v>41</v>
      </c>
      <c r="E421">
        <v>31</v>
      </c>
      <c r="F421" t="str">
        <f t="shared" si="55"/>
        <v>26-35</v>
      </c>
      <c r="G421" t="s">
        <v>8</v>
      </c>
      <c r="H421" t="s">
        <v>59</v>
      </c>
      <c r="I421" t="s">
        <v>351</v>
      </c>
      <c r="J421" t="str">
        <f t="shared" si="56"/>
        <v>gmail.com</v>
      </c>
      <c r="K421" t="s">
        <v>350</v>
      </c>
      <c r="L421" t="s">
        <v>549</v>
      </c>
      <c r="M421" s="2">
        <v>45653</v>
      </c>
      <c r="N421" t="s">
        <v>548</v>
      </c>
      <c r="O421" t="s">
        <v>35</v>
      </c>
      <c r="P421">
        <v>128.13999999999999</v>
      </c>
      <c r="Q421">
        <v>1</v>
      </c>
      <c r="R421" t="s">
        <v>1</v>
      </c>
      <c r="S421" s="5">
        <v>0</v>
      </c>
      <c r="T421" s="3">
        <v>3</v>
      </c>
      <c r="U421" s="4" t="str">
        <f t="shared" si="57"/>
        <v>Before_time</v>
      </c>
      <c r="V421">
        <v>55</v>
      </c>
      <c r="W421" s="3">
        <f t="shared" si="58"/>
        <v>2</v>
      </c>
      <c r="X421" s="2">
        <v>45655</v>
      </c>
      <c r="Y421" s="1">
        <f>YEAR(Table2[[#This Row],[Delivery_Date]])</f>
        <v>2024</v>
      </c>
      <c r="Z421" s="2" t="str">
        <f t="shared" si="59"/>
        <v>Dec</v>
      </c>
      <c r="AA421" t="s">
        <v>547</v>
      </c>
      <c r="AB421">
        <f t="shared" si="60"/>
        <v>183.14</v>
      </c>
      <c r="AC421">
        <f>Table2[[#This Row],[Price]]*Table2[[#This Row],[Quantity]]*Table2[[#This Row],[COUPON %]]/100</f>
        <v>0</v>
      </c>
      <c r="AD421">
        <f t="shared" si="61"/>
        <v>128.13999999999999</v>
      </c>
      <c r="AE421" s="1">
        <f t="shared" si="62"/>
        <v>128.13999999999999</v>
      </c>
    </row>
    <row r="422" spans="1:31" x14ac:dyDescent="0.25">
      <c r="A422" t="s">
        <v>433</v>
      </c>
      <c r="B422" t="str">
        <f t="shared" si="54"/>
        <v xml:space="preserve">Jodi Whitney </v>
      </c>
      <c r="C422" t="s">
        <v>432</v>
      </c>
      <c r="D422" t="s">
        <v>431</v>
      </c>
      <c r="E422">
        <v>33</v>
      </c>
      <c r="F422" t="str">
        <f t="shared" si="55"/>
        <v>26-35</v>
      </c>
      <c r="G422" t="s">
        <v>8</v>
      </c>
      <c r="H422" t="s">
        <v>79</v>
      </c>
      <c r="I422" t="s">
        <v>430</v>
      </c>
      <c r="J422" t="str">
        <f t="shared" si="56"/>
        <v>yahoo.com</v>
      </c>
      <c r="K422" t="s">
        <v>429</v>
      </c>
      <c r="L422" t="s">
        <v>546</v>
      </c>
      <c r="M422" s="2">
        <v>45351</v>
      </c>
      <c r="N422" t="s">
        <v>545</v>
      </c>
      <c r="O422" t="s">
        <v>494</v>
      </c>
      <c r="P422">
        <v>425.59</v>
      </c>
      <c r="Q422">
        <v>2</v>
      </c>
      <c r="R422" t="s">
        <v>166</v>
      </c>
      <c r="S422" s="5">
        <v>10</v>
      </c>
      <c r="T422" s="3">
        <v>4</v>
      </c>
      <c r="U422" s="4" t="str">
        <f t="shared" si="57"/>
        <v>Late_Delivery</v>
      </c>
      <c r="V422">
        <v>64</v>
      </c>
      <c r="W422" s="3">
        <f t="shared" si="58"/>
        <v>7</v>
      </c>
      <c r="X422" s="2">
        <v>45358</v>
      </c>
      <c r="Y422" s="1">
        <f>YEAR(Table2[[#This Row],[Delivery_Date]])</f>
        <v>2024</v>
      </c>
      <c r="Z422" s="2" t="str">
        <f t="shared" si="59"/>
        <v>Mar</v>
      </c>
      <c r="AA422" t="s">
        <v>544</v>
      </c>
      <c r="AB422">
        <f t="shared" si="60"/>
        <v>830.06200000000001</v>
      </c>
      <c r="AC422">
        <f>Table2[[#This Row],[Price]]*Table2[[#This Row],[Quantity]]*Table2[[#This Row],[COUPON %]]/100</f>
        <v>85.117999999999995</v>
      </c>
      <c r="AD422">
        <f t="shared" si="61"/>
        <v>766.06200000000001</v>
      </c>
      <c r="AE422" s="1">
        <f t="shared" si="62"/>
        <v>851.18</v>
      </c>
    </row>
    <row r="423" spans="1:31" x14ac:dyDescent="0.25">
      <c r="A423" t="s">
        <v>206</v>
      </c>
      <c r="B423" t="str">
        <f t="shared" si="54"/>
        <v xml:space="preserve">Alexandra Smith </v>
      </c>
      <c r="C423" t="s">
        <v>205</v>
      </c>
      <c r="D423" t="s">
        <v>204</v>
      </c>
      <c r="E423">
        <v>70</v>
      </c>
      <c r="F423" t="str">
        <f t="shared" si="55"/>
        <v>&gt;45</v>
      </c>
      <c r="G423" t="s">
        <v>108</v>
      </c>
      <c r="H423" t="s">
        <v>107</v>
      </c>
      <c r="I423" t="s">
        <v>203</v>
      </c>
      <c r="J423" t="str">
        <f t="shared" si="56"/>
        <v>rediffmail.com</v>
      </c>
      <c r="K423" t="s">
        <v>202</v>
      </c>
      <c r="L423" t="s">
        <v>543</v>
      </c>
      <c r="M423" s="2">
        <v>45622</v>
      </c>
      <c r="N423" t="s">
        <v>542</v>
      </c>
      <c r="O423" t="s">
        <v>94</v>
      </c>
      <c r="P423">
        <v>33.49</v>
      </c>
      <c r="Q423">
        <v>5</v>
      </c>
      <c r="R423" t="s">
        <v>64</v>
      </c>
      <c r="S423" s="5">
        <v>20</v>
      </c>
      <c r="T423" s="3">
        <v>5</v>
      </c>
      <c r="U423" s="4" t="str">
        <f t="shared" si="57"/>
        <v>Late_Delivery</v>
      </c>
      <c r="V423">
        <v>64</v>
      </c>
      <c r="W423" s="3">
        <f t="shared" si="58"/>
        <v>6</v>
      </c>
      <c r="X423" s="2">
        <v>45628</v>
      </c>
      <c r="Y423" s="1">
        <f>YEAR(Table2[[#This Row],[Delivery_Date]])</f>
        <v>2024</v>
      </c>
      <c r="Z423" s="2" t="str">
        <f t="shared" si="59"/>
        <v>Dec</v>
      </c>
      <c r="AA423" t="s">
        <v>541</v>
      </c>
      <c r="AB423">
        <f t="shared" si="60"/>
        <v>197.96</v>
      </c>
      <c r="AC423">
        <f>Table2[[#This Row],[Price]]*Table2[[#This Row],[Quantity]]*Table2[[#This Row],[COUPON %]]/100</f>
        <v>33.49</v>
      </c>
      <c r="AD423">
        <f t="shared" si="61"/>
        <v>133.96</v>
      </c>
      <c r="AE423" s="1">
        <f t="shared" si="62"/>
        <v>167.45000000000002</v>
      </c>
    </row>
    <row r="424" spans="1:31" x14ac:dyDescent="0.25">
      <c r="A424" t="s">
        <v>11</v>
      </c>
      <c r="B424" t="str">
        <f t="shared" si="54"/>
        <v xml:space="preserve">Angela Evans </v>
      </c>
      <c r="C424" t="s">
        <v>10</v>
      </c>
      <c r="D424" t="s">
        <v>9</v>
      </c>
      <c r="E424">
        <v>52</v>
      </c>
      <c r="F424" t="str">
        <f t="shared" si="55"/>
        <v>&gt;45</v>
      </c>
      <c r="G424" t="s">
        <v>8</v>
      </c>
      <c r="H424" t="s">
        <v>7</v>
      </c>
      <c r="I424" t="s">
        <v>6</v>
      </c>
      <c r="J424" t="str">
        <f t="shared" si="56"/>
        <v>outlook.com</v>
      </c>
      <c r="K424" t="s">
        <v>5</v>
      </c>
      <c r="L424" t="s">
        <v>540</v>
      </c>
      <c r="M424" s="2">
        <v>45269</v>
      </c>
      <c r="N424" t="s">
        <v>539</v>
      </c>
      <c r="O424" t="s">
        <v>299</v>
      </c>
      <c r="P424">
        <v>235.63</v>
      </c>
      <c r="Q424">
        <v>1</v>
      </c>
      <c r="R424" t="s">
        <v>1</v>
      </c>
      <c r="S424" s="5">
        <v>0</v>
      </c>
      <c r="T424" s="3">
        <v>6</v>
      </c>
      <c r="U424" s="4" t="str">
        <f t="shared" si="57"/>
        <v>Before_time</v>
      </c>
      <c r="V424">
        <v>35</v>
      </c>
      <c r="W424" s="3">
        <f t="shared" si="58"/>
        <v>3</v>
      </c>
      <c r="X424" s="2">
        <v>45272</v>
      </c>
      <c r="Y424" s="1">
        <f>YEAR(Table2[[#This Row],[Delivery_Date]])</f>
        <v>2023</v>
      </c>
      <c r="Z424" s="2" t="str">
        <f t="shared" si="59"/>
        <v>Dec</v>
      </c>
      <c r="AA424" t="s">
        <v>538</v>
      </c>
      <c r="AB424">
        <f t="shared" si="60"/>
        <v>270.63</v>
      </c>
      <c r="AC424">
        <f>Table2[[#This Row],[Price]]*Table2[[#This Row],[Quantity]]*Table2[[#This Row],[COUPON %]]/100</f>
        <v>0</v>
      </c>
      <c r="AD424">
        <f t="shared" si="61"/>
        <v>235.63</v>
      </c>
      <c r="AE424" s="1">
        <f t="shared" si="62"/>
        <v>235.63</v>
      </c>
    </row>
    <row r="425" spans="1:31" x14ac:dyDescent="0.25">
      <c r="A425" t="s">
        <v>537</v>
      </c>
      <c r="B425" t="str">
        <f t="shared" si="54"/>
        <v xml:space="preserve">Lauren Lane </v>
      </c>
      <c r="C425" t="s">
        <v>254</v>
      </c>
      <c r="D425" t="s">
        <v>536</v>
      </c>
      <c r="E425">
        <v>30</v>
      </c>
      <c r="F425" t="str">
        <f t="shared" si="55"/>
        <v>26-35</v>
      </c>
      <c r="G425" t="s">
        <v>108</v>
      </c>
      <c r="H425" t="s">
        <v>18</v>
      </c>
      <c r="I425" t="s">
        <v>535</v>
      </c>
      <c r="J425" t="str">
        <f t="shared" si="56"/>
        <v>gmail.com</v>
      </c>
      <c r="K425" t="s">
        <v>534</v>
      </c>
      <c r="L425" t="s">
        <v>533</v>
      </c>
      <c r="M425" s="2">
        <v>45695</v>
      </c>
      <c r="N425" t="s">
        <v>532</v>
      </c>
      <c r="O425" t="s">
        <v>531</v>
      </c>
      <c r="P425">
        <v>20</v>
      </c>
      <c r="Q425">
        <v>3</v>
      </c>
      <c r="R425" t="s">
        <v>166</v>
      </c>
      <c r="S425" s="5">
        <v>10</v>
      </c>
      <c r="T425" s="3">
        <v>7</v>
      </c>
      <c r="U425" s="4" t="str">
        <f t="shared" si="57"/>
        <v>Before_time</v>
      </c>
      <c r="V425">
        <v>65</v>
      </c>
      <c r="W425" s="3">
        <f t="shared" si="58"/>
        <v>6</v>
      </c>
      <c r="X425" s="2">
        <v>45701</v>
      </c>
      <c r="Y425" s="1">
        <f>YEAR(Table2[[#This Row],[Delivery_Date]])</f>
        <v>2025</v>
      </c>
      <c r="Z425" s="2" t="str">
        <f t="shared" si="59"/>
        <v>Feb</v>
      </c>
      <c r="AA425" t="s">
        <v>530</v>
      </c>
      <c r="AB425">
        <f t="shared" si="60"/>
        <v>119</v>
      </c>
      <c r="AC425">
        <f>Table2[[#This Row],[Price]]*Table2[[#This Row],[Quantity]]*Table2[[#This Row],[COUPON %]]/100</f>
        <v>6</v>
      </c>
      <c r="AD425">
        <f t="shared" si="61"/>
        <v>54</v>
      </c>
      <c r="AE425" s="1">
        <f t="shared" si="62"/>
        <v>60</v>
      </c>
    </row>
    <row r="426" spans="1:31" x14ac:dyDescent="0.25">
      <c r="A426" t="s">
        <v>529</v>
      </c>
      <c r="B426" t="str">
        <f t="shared" si="54"/>
        <v xml:space="preserve">Melissa Levy </v>
      </c>
      <c r="C426" t="s">
        <v>528</v>
      </c>
      <c r="D426" t="s">
        <v>527</v>
      </c>
      <c r="E426">
        <v>30</v>
      </c>
      <c r="F426" t="str">
        <f t="shared" si="55"/>
        <v>26-35</v>
      </c>
      <c r="G426" t="s">
        <v>108</v>
      </c>
      <c r="H426" t="s">
        <v>40</v>
      </c>
      <c r="I426" t="s">
        <v>526</v>
      </c>
      <c r="J426" t="str">
        <f t="shared" si="56"/>
        <v>rediffmail.com</v>
      </c>
      <c r="K426" t="s">
        <v>525</v>
      </c>
      <c r="L426" t="s">
        <v>524</v>
      </c>
      <c r="M426" s="2">
        <v>45587</v>
      </c>
      <c r="N426" t="s">
        <v>523</v>
      </c>
      <c r="O426" t="s">
        <v>94</v>
      </c>
      <c r="P426">
        <v>33.49</v>
      </c>
      <c r="Q426">
        <v>5</v>
      </c>
      <c r="R426" t="s">
        <v>64</v>
      </c>
      <c r="S426" s="5">
        <v>20</v>
      </c>
      <c r="T426" s="3">
        <v>2</v>
      </c>
      <c r="U426" s="4" t="str">
        <f t="shared" si="57"/>
        <v>On_time</v>
      </c>
      <c r="V426">
        <v>58</v>
      </c>
      <c r="W426" s="3">
        <f t="shared" si="58"/>
        <v>2</v>
      </c>
      <c r="X426" s="2">
        <v>45589</v>
      </c>
      <c r="Y426" s="1">
        <f>YEAR(Table2[[#This Row],[Delivery_Date]])</f>
        <v>2024</v>
      </c>
      <c r="Z426" s="2" t="str">
        <f t="shared" si="59"/>
        <v>Oct</v>
      </c>
      <c r="AA426" t="s">
        <v>522</v>
      </c>
      <c r="AB426">
        <f t="shared" si="60"/>
        <v>191.96</v>
      </c>
      <c r="AC426">
        <f>Table2[[#This Row],[Price]]*Table2[[#This Row],[Quantity]]*Table2[[#This Row],[COUPON %]]/100</f>
        <v>33.49</v>
      </c>
      <c r="AD426">
        <f t="shared" si="61"/>
        <v>133.96</v>
      </c>
      <c r="AE426" s="1">
        <f t="shared" si="62"/>
        <v>167.45000000000002</v>
      </c>
    </row>
    <row r="427" spans="1:31" x14ac:dyDescent="0.25">
      <c r="A427" t="s">
        <v>218</v>
      </c>
      <c r="B427" t="str">
        <f t="shared" si="54"/>
        <v xml:space="preserve">Beth Mason </v>
      </c>
      <c r="C427" t="s">
        <v>217</v>
      </c>
      <c r="D427" t="s">
        <v>216</v>
      </c>
      <c r="E427">
        <v>45</v>
      </c>
      <c r="F427" t="str">
        <f t="shared" si="55"/>
        <v>36-45</v>
      </c>
      <c r="G427" t="s">
        <v>8</v>
      </c>
      <c r="H427" t="s">
        <v>118</v>
      </c>
      <c r="I427" t="s">
        <v>215</v>
      </c>
      <c r="J427" t="str">
        <f t="shared" si="56"/>
        <v>outlook.com</v>
      </c>
      <c r="K427" t="s">
        <v>214</v>
      </c>
      <c r="L427" t="s">
        <v>521</v>
      </c>
      <c r="M427" s="2">
        <v>44987</v>
      </c>
      <c r="N427" t="s">
        <v>520</v>
      </c>
      <c r="O427" t="s">
        <v>519</v>
      </c>
      <c r="P427">
        <v>136.30000000000001</v>
      </c>
      <c r="Q427">
        <v>1</v>
      </c>
      <c r="R427" t="s">
        <v>34</v>
      </c>
      <c r="S427" s="5">
        <v>8</v>
      </c>
      <c r="T427" s="3">
        <v>4</v>
      </c>
      <c r="U427" s="4" t="str">
        <f t="shared" si="57"/>
        <v>Before_time</v>
      </c>
      <c r="V427">
        <v>41</v>
      </c>
      <c r="W427" s="3">
        <f t="shared" si="58"/>
        <v>1</v>
      </c>
      <c r="X427" s="2">
        <v>44988</v>
      </c>
      <c r="Y427" s="1">
        <f>YEAR(Table2[[#This Row],[Delivery_Date]])</f>
        <v>2023</v>
      </c>
      <c r="Z427" s="2" t="str">
        <f t="shared" si="59"/>
        <v>Mar</v>
      </c>
      <c r="AA427" t="s">
        <v>518</v>
      </c>
      <c r="AB427">
        <f t="shared" si="60"/>
        <v>166.39600000000002</v>
      </c>
      <c r="AC427">
        <f>Table2[[#This Row],[Price]]*Table2[[#This Row],[Quantity]]*Table2[[#This Row],[COUPON %]]/100</f>
        <v>10.904000000000002</v>
      </c>
      <c r="AD427">
        <f t="shared" si="61"/>
        <v>125.39600000000002</v>
      </c>
      <c r="AE427" s="1">
        <f t="shared" si="62"/>
        <v>136.30000000000001</v>
      </c>
    </row>
    <row r="428" spans="1:31" x14ac:dyDescent="0.25">
      <c r="A428" t="s">
        <v>517</v>
      </c>
      <c r="B428" t="str">
        <f t="shared" si="54"/>
        <v xml:space="preserve">Scott Jones </v>
      </c>
      <c r="C428" t="s">
        <v>516</v>
      </c>
      <c r="D428" t="s">
        <v>154</v>
      </c>
      <c r="E428">
        <v>29</v>
      </c>
      <c r="F428" t="str">
        <f t="shared" si="55"/>
        <v>26-35</v>
      </c>
      <c r="G428" t="s">
        <v>8</v>
      </c>
      <c r="H428" t="s">
        <v>118</v>
      </c>
      <c r="I428" t="s">
        <v>515</v>
      </c>
      <c r="J428" t="str">
        <f t="shared" si="56"/>
        <v>yahoo.com</v>
      </c>
      <c r="K428" t="s">
        <v>514</v>
      </c>
      <c r="L428" t="s">
        <v>513</v>
      </c>
      <c r="M428" s="2">
        <v>45537</v>
      </c>
      <c r="N428" t="s">
        <v>512</v>
      </c>
      <c r="O428" t="s">
        <v>84</v>
      </c>
      <c r="P428">
        <v>62.42</v>
      </c>
      <c r="Q428">
        <v>1</v>
      </c>
      <c r="R428" t="s">
        <v>34</v>
      </c>
      <c r="S428" s="5">
        <v>8</v>
      </c>
      <c r="T428" s="3">
        <v>3</v>
      </c>
      <c r="U428" s="4" t="str">
        <f t="shared" si="57"/>
        <v>Late_Delivery</v>
      </c>
      <c r="V428">
        <v>48</v>
      </c>
      <c r="W428" s="3">
        <f t="shared" si="58"/>
        <v>5</v>
      </c>
      <c r="X428" s="2">
        <v>45542</v>
      </c>
      <c r="Y428" s="1">
        <f>YEAR(Table2[[#This Row],[Delivery_Date]])</f>
        <v>2024</v>
      </c>
      <c r="Z428" s="2" t="str">
        <f t="shared" si="59"/>
        <v>Sep</v>
      </c>
      <c r="AA428" t="s">
        <v>511</v>
      </c>
      <c r="AB428">
        <f t="shared" si="60"/>
        <v>105.4264</v>
      </c>
      <c r="AC428">
        <f>Table2[[#This Row],[Price]]*Table2[[#This Row],[Quantity]]*Table2[[#This Row],[COUPON %]]/100</f>
        <v>4.9935999999999998</v>
      </c>
      <c r="AD428">
        <f t="shared" si="61"/>
        <v>57.426400000000001</v>
      </c>
      <c r="AE428" s="1">
        <f t="shared" si="62"/>
        <v>62.42</v>
      </c>
    </row>
    <row r="429" spans="1:31" x14ac:dyDescent="0.25">
      <c r="A429" t="s">
        <v>510</v>
      </c>
      <c r="B429" t="str">
        <f t="shared" si="54"/>
        <v xml:space="preserve">Katherine Weber </v>
      </c>
      <c r="C429" t="s">
        <v>509</v>
      </c>
      <c r="D429" t="s">
        <v>508</v>
      </c>
      <c r="E429">
        <v>42</v>
      </c>
      <c r="F429" t="str">
        <f t="shared" si="55"/>
        <v>36-45</v>
      </c>
      <c r="G429" t="s">
        <v>8</v>
      </c>
      <c r="H429" t="s">
        <v>28</v>
      </c>
      <c r="I429" t="s">
        <v>507</v>
      </c>
      <c r="J429" t="str">
        <f t="shared" si="56"/>
        <v>outlook.com</v>
      </c>
      <c r="K429" t="s">
        <v>506</v>
      </c>
      <c r="L429" t="s">
        <v>505</v>
      </c>
      <c r="M429" s="2">
        <v>45646</v>
      </c>
      <c r="N429" t="s">
        <v>504</v>
      </c>
      <c r="O429" t="s">
        <v>494</v>
      </c>
      <c r="P429">
        <v>425.59</v>
      </c>
      <c r="Q429">
        <v>5</v>
      </c>
      <c r="R429" t="s">
        <v>1</v>
      </c>
      <c r="S429" s="5">
        <v>0</v>
      </c>
      <c r="T429" s="3">
        <v>5</v>
      </c>
      <c r="U429" s="4" t="str">
        <f t="shared" si="57"/>
        <v>Late_Delivery</v>
      </c>
      <c r="V429">
        <v>47</v>
      </c>
      <c r="W429" s="3">
        <f t="shared" si="58"/>
        <v>6</v>
      </c>
      <c r="X429" s="2">
        <v>45652</v>
      </c>
      <c r="Y429" s="1">
        <f>YEAR(Table2[[#This Row],[Delivery_Date]])</f>
        <v>2024</v>
      </c>
      <c r="Z429" s="2" t="str">
        <f t="shared" si="59"/>
        <v>Dec</v>
      </c>
      <c r="AA429" t="s">
        <v>503</v>
      </c>
      <c r="AB429">
        <f t="shared" si="60"/>
        <v>2174.9499999999998</v>
      </c>
      <c r="AC429">
        <f>Table2[[#This Row],[Price]]*Table2[[#This Row],[Quantity]]*Table2[[#This Row],[COUPON %]]/100</f>
        <v>0</v>
      </c>
      <c r="AD429">
        <f t="shared" si="61"/>
        <v>2127.9499999999998</v>
      </c>
      <c r="AE429" s="1">
        <f t="shared" si="62"/>
        <v>2127.9499999999998</v>
      </c>
    </row>
    <row r="430" spans="1:31" x14ac:dyDescent="0.25">
      <c r="A430" t="s">
        <v>156</v>
      </c>
      <c r="B430" t="str">
        <f t="shared" si="54"/>
        <v xml:space="preserve">Traci Jones </v>
      </c>
      <c r="C430" t="s">
        <v>155</v>
      </c>
      <c r="D430" t="s">
        <v>154</v>
      </c>
      <c r="E430">
        <v>34</v>
      </c>
      <c r="F430" t="str">
        <f t="shared" si="55"/>
        <v>26-35</v>
      </c>
      <c r="G430" t="s">
        <v>108</v>
      </c>
      <c r="H430" t="s">
        <v>118</v>
      </c>
      <c r="I430" t="s">
        <v>153</v>
      </c>
      <c r="J430" t="str">
        <f t="shared" si="56"/>
        <v>yahoo.com</v>
      </c>
      <c r="K430" t="s">
        <v>152</v>
      </c>
      <c r="L430" t="s">
        <v>502</v>
      </c>
      <c r="M430" s="2">
        <v>45504</v>
      </c>
      <c r="N430" t="s">
        <v>501</v>
      </c>
      <c r="O430" t="s">
        <v>123</v>
      </c>
      <c r="P430">
        <v>107.47</v>
      </c>
      <c r="Q430">
        <v>5</v>
      </c>
      <c r="R430" t="s">
        <v>166</v>
      </c>
      <c r="S430" s="5">
        <v>10</v>
      </c>
      <c r="T430" s="3">
        <v>5</v>
      </c>
      <c r="U430" s="4" t="str">
        <f t="shared" si="57"/>
        <v>Before_time</v>
      </c>
      <c r="V430">
        <v>48</v>
      </c>
      <c r="W430" s="3">
        <f t="shared" si="58"/>
        <v>1</v>
      </c>
      <c r="X430" s="2">
        <v>45505</v>
      </c>
      <c r="Y430" s="1">
        <f>YEAR(Table2[[#This Row],[Delivery_Date]])</f>
        <v>2024</v>
      </c>
      <c r="Z430" s="2" t="str">
        <f t="shared" si="59"/>
        <v>Aug</v>
      </c>
      <c r="AA430" t="s">
        <v>500</v>
      </c>
      <c r="AB430">
        <f t="shared" si="60"/>
        <v>531.61500000000001</v>
      </c>
      <c r="AC430">
        <f>Table2[[#This Row],[Price]]*Table2[[#This Row],[Quantity]]*Table2[[#This Row],[COUPON %]]/100</f>
        <v>53.734999999999999</v>
      </c>
      <c r="AD430">
        <f t="shared" si="61"/>
        <v>483.61500000000001</v>
      </c>
      <c r="AE430" s="1">
        <f t="shared" si="62"/>
        <v>537.35</v>
      </c>
    </row>
    <row r="431" spans="1:31" x14ac:dyDescent="0.25">
      <c r="A431" t="s">
        <v>62</v>
      </c>
      <c r="B431" t="str">
        <f t="shared" si="54"/>
        <v xml:space="preserve">Kara Brennan </v>
      </c>
      <c r="C431" t="s">
        <v>61</v>
      </c>
      <c r="D431" t="s">
        <v>60</v>
      </c>
      <c r="E431">
        <v>25</v>
      </c>
      <c r="F431" t="str">
        <f t="shared" si="55"/>
        <v>0-25</v>
      </c>
      <c r="G431" t="s">
        <v>8</v>
      </c>
      <c r="H431" t="s">
        <v>59</v>
      </c>
      <c r="I431" t="s">
        <v>58</v>
      </c>
      <c r="J431" t="str">
        <f t="shared" si="56"/>
        <v>outlook.com</v>
      </c>
      <c r="K431" t="s">
        <v>57</v>
      </c>
      <c r="L431" t="s">
        <v>499</v>
      </c>
      <c r="M431" s="2">
        <v>45271</v>
      </c>
      <c r="N431" t="s">
        <v>498</v>
      </c>
      <c r="O431" t="s">
        <v>347</v>
      </c>
      <c r="P431">
        <v>157.63999999999999</v>
      </c>
      <c r="Q431">
        <v>2</v>
      </c>
      <c r="R431" t="s">
        <v>1</v>
      </c>
      <c r="S431" s="5">
        <v>0</v>
      </c>
      <c r="T431" s="3">
        <v>5</v>
      </c>
      <c r="U431" s="4" t="str">
        <f t="shared" si="57"/>
        <v>Late_Delivery</v>
      </c>
      <c r="V431">
        <v>57</v>
      </c>
      <c r="W431" s="3">
        <f t="shared" si="58"/>
        <v>6</v>
      </c>
      <c r="X431" s="2">
        <v>45277</v>
      </c>
      <c r="Y431" s="1">
        <f>YEAR(Table2[[#This Row],[Delivery_Date]])</f>
        <v>2023</v>
      </c>
      <c r="Z431" s="2" t="str">
        <f t="shared" si="59"/>
        <v>Dec</v>
      </c>
      <c r="AA431" t="s">
        <v>497</v>
      </c>
      <c r="AB431">
        <f t="shared" si="60"/>
        <v>372.28</v>
      </c>
      <c r="AC431">
        <f>Table2[[#This Row],[Price]]*Table2[[#This Row],[Quantity]]*Table2[[#This Row],[COUPON %]]/100</f>
        <v>0</v>
      </c>
      <c r="AD431">
        <f t="shared" si="61"/>
        <v>315.27999999999997</v>
      </c>
      <c r="AE431" s="1">
        <f t="shared" si="62"/>
        <v>315.27999999999997</v>
      </c>
    </row>
    <row r="432" spans="1:31" x14ac:dyDescent="0.25">
      <c r="A432" t="s">
        <v>353</v>
      </c>
      <c r="B432" t="str">
        <f t="shared" si="54"/>
        <v xml:space="preserve">Timothy Hicks </v>
      </c>
      <c r="C432" t="s">
        <v>352</v>
      </c>
      <c r="D432" t="s">
        <v>41</v>
      </c>
      <c r="E432">
        <v>31</v>
      </c>
      <c r="F432" t="str">
        <f t="shared" si="55"/>
        <v>26-35</v>
      </c>
      <c r="G432" t="s">
        <v>8</v>
      </c>
      <c r="H432" t="s">
        <v>59</v>
      </c>
      <c r="I432" t="s">
        <v>351</v>
      </c>
      <c r="J432" t="str">
        <f t="shared" si="56"/>
        <v>gmail.com</v>
      </c>
      <c r="K432" t="s">
        <v>350</v>
      </c>
      <c r="L432" t="s">
        <v>496</v>
      </c>
      <c r="M432" s="2">
        <v>45398</v>
      </c>
      <c r="N432" t="s">
        <v>495</v>
      </c>
      <c r="O432" t="s">
        <v>494</v>
      </c>
      <c r="P432">
        <v>425.59</v>
      </c>
      <c r="Q432">
        <v>2</v>
      </c>
      <c r="R432" t="s">
        <v>93</v>
      </c>
      <c r="S432" s="5">
        <v>15</v>
      </c>
      <c r="T432" s="3">
        <v>1</v>
      </c>
      <c r="U432" s="4" t="str">
        <f t="shared" si="57"/>
        <v>Late_Delivery</v>
      </c>
      <c r="V432">
        <v>44</v>
      </c>
      <c r="W432" s="3">
        <f t="shared" si="58"/>
        <v>5</v>
      </c>
      <c r="X432" s="2">
        <v>45403</v>
      </c>
      <c r="Y432" s="1">
        <f>YEAR(Table2[[#This Row],[Delivery_Date]])</f>
        <v>2024</v>
      </c>
      <c r="Z432" s="2" t="str">
        <f t="shared" si="59"/>
        <v>Apr</v>
      </c>
      <c r="AA432" t="s">
        <v>493</v>
      </c>
      <c r="AB432">
        <f t="shared" si="60"/>
        <v>767.50299999999993</v>
      </c>
      <c r="AC432">
        <f>Table2[[#This Row],[Price]]*Table2[[#This Row],[Quantity]]*Table2[[#This Row],[COUPON %]]/100</f>
        <v>127.67699999999999</v>
      </c>
      <c r="AD432">
        <f t="shared" si="61"/>
        <v>723.50299999999993</v>
      </c>
      <c r="AE432" s="1">
        <f t="shared" si="62"/>
        <v>851.18</v>
      </c>
    </row>
    <row r="433" spans="1:31" x14ac:dyDescent="0.25">
      <c r="A433" t="s">
        <v>492</v>
      </c>
      <c r="B433" t="str">
        <f t="shared" si="54"/>
        <v xml:space="preserve">Barbara Fuller </v>
      </c>
      <c r="C433" t="s">
        <v>491</v>
      </c>
      <c r="D433" t="s">
        <v>490</v>
      </c>
      <c r="E433">
        <v>43</v>
      </c>
      <c r="F433" t="str">
        <f t="shared" si="55"/>
        <v>36-45</v>
      </c>
      <c r="G433" t="s">
        <v>8</v>
      </c>
      <c r="H433" t="s">
        <v>40</v>
      </c>
      <c r="I433" t="s">
        <v>489</v>
      </c>
      <c r="J433" t="str">
        <f t="shared" si="56"/>
        <v>rediffmail.com</v>
      </c>
      <c r="K433" t="s">
        <v>488</v>
      </c>
      <c r="L433" t="s">
        <v>487</v>
      </c>
      <c r="M433" s="2">
        <v>45432</v>
      </c>
      <c r="N433" t="s">
        <v>486</v>
      </c>
      <c r="O433" t="s">
        <v>220</v>
      </c>
      <c r="P433">
        <v>461.07</v>
      </c>
      <c r="Q433">
        <v>1</v>
      </c>
      <c r="R433" t="s">
        <v>34</v>
      </c>
      <c r="S433" s="5">
        <v>8</v>
      </c>
      <c r="T433" s="3">
        <v>1</v>
      </c>
      <c r="U433" s="4" t="str">
        <f t="shared" si="57"/>
        <v>On_time</v>
      </c>
      <c r="V433">
        <v>42</v>
      </c>
      <c r="W433" s="3">
        <f t="shared" si="58"/>
        <v>1</v>
      </c>
      <c r="X433" s="2">
        <v>45433</v>
      </c>
      <c r="Y433" s="1">
        <f>YEAR(Table2[[#This Row],[Delivery_Date]])</f>
        <v>2024</v>
      </c>
      <c r="Z433" s="2" t="str">
        <f t="shared" si="59"/>
        <v>May</v>
      </c>
      <c r="AA433" t="s">
        <v>485</v>
      </c>
      <c r="AB433">
        <f t="shared" si="60"/>
        <v>466.18440000000004</v>
      </c>
      <c r="AC433">
        <f>Table2[[#This Row],[Price]]*Table2[[#This Row],[Quantity]]*Table2[[#This Row],[COUPON %]]/100</f>
        <v>36.885599999999997</v>
      </c>
      <c r="AD433">
        <f t="shared" si="61"/>
        <v>424.18440000000004</v>
      </c>
      <c r="AE433" s="1">
        <f t="shared" si="62"/>
        <v>461.07</v>
      </c>
    </row>
    <row r="434" spans="1:31" x14ac:dyDescent="0.25">
      <c r="A434" t="s">
        <v>484</v>
      </c>
      <c r="B434" t="str">
        <f t="shared" si="54"/>
        <v xml:space="preserve">David Delacruz </v>
      </c>
      <c r="C434" t="s">
        <v>483</v>
      </c>
      <c r="D434" t="s">
        <v>482</v>
      </c>
      <c r="E434">
        <v>26</v>
      </c>
      <c r="F434" t="str">
        <f t="shared" si="55"/>
        <v>26-35</v>
      </c>
      <c r="G434" t="s">
        <v>29</v>
      </c>
      <c r="H434" t="s">
        <v>118</v>
      </c>
      <c r="I434" t="s">
        <v>481</v>
      </c>
      <c r="J434" t="str">
        <f t="shared" si="56"/>
        <v>rediffmail.com</v>
      </c>
      <c r="K434" t="s">
        <v>480</v>
      </c>
      <c r="L434" t="s">
        <v>479</v>
      </c>
      <c r="M434" s="2">
        <v>45449</v>
      </c>
      <c r="N434" t="s">
        <v>478</v>
      </c>
      <c r="O434" t="s">
        <v>299</v>
      </c>
      <c r="P434">
        <v>235.63</v>
      </c>
      <c r="Q434">
        <v>1</v>
      </c>
      <c r="R434" t="s">
        <v>93</v>
      </c>
      <c r="S434" s="5">
        <v>15</v>
      </c>
      <c r="T434" s="3">
        <v>3</v>
      </c>
      <c r="U434" s="4" t="str">
        <f t="shared" si="57"/>
        <v>Late_Delivery</v>
      </c>
      <c r="V434">
        <v>55</v>
      </c>
      <c r="W434" s="3">
        <f t="shared" si="58"/>
        <v>6</v>
      </c>
      <c r="X434" s="2">
        <v>45455</v>
      </c>
      <c r="Y434" s="1">
        <f>YEAR(Table2[[#This Row],[Delivery_Date]])</f>
        <v>2024</v>
      </c>
      <c r="Z434" s="2" t="str">
        <f t="shared" si="59"/>
        <v>Jun</v>
      </c>
      <c r="AA434" t="s">
        <v>477</v>
      </c>
      <c r="AB434">
        <f t="shared" si="60"/>
        <v>255.28549999999998</v>
      </c>
      <c r="AC434">
        <f>Table2[[#This Row],[Price]]*Table2[[#This Row],[Quantity]]*Table2[[#This Row],[COUPON %]]/100</f>
        <v>35.344499999999996</v>
      </c>
      <c r="AD434">
        <f t="shared" si="61"/>
        <v>200.28549999999998</v>
      </c>
      <c r="AE434" s="1">
        <f t="shared" si="62"/>
        <v>235.63</v>
      </c>
    </row>
    <row r="435" spans="1:31" x14ac:dyDescent="0.25">
      <c r="A435" t="s">
        <v>476</v>
      </c>
      <c r="B435" t="str">
        <f t="shared" si="54"/>
        <v xml:space="preserve">Kelli Smith </v>
      </c>
      <c r="C435" t="s">
        <v>475</v>
      </c>
      <c r="D435" t="s">
        <v>204</v>
      </c>
      <c r="E435">
        <v>18</v>
      </c>
      <c r="F435" t="str">
        <f t="shared" si="55"/>
        <v>0-25</v>
      </c>
      <c r="G435" t="s">
        <v>29</v>
      </c>
      <c r="H435" t="s">
        <v>7</v>
      </c>
      <c r="I435" t="s">
        <v>474</v>
      </c>
      <c r="J435" t="str">
        <f t="shared" si="56"/>
        <v>rediffmail.com</v>
      </c>
      <c r="K435" t="s">
        <v>473</v>
      </c>
      <c r="L435" t="s">
        <v>472</v>
      </c>
      <c r="M435" s="2">
        <v>45178</v>
      </c>
      <c r="N435" t="s">
        <v>471</v>
      </c>
      <c r="O435" t="s">
        <v>470</v>
      </c>
      <c r="P435">
        <v>133.62</v>
      </c>
      <c r="Q435">
        <v>2</v>
      </c>
      <c r="R435" t="s">
        <v>34</v>
      </c>
      <c r="S435" s="5">
        <v>8</v>
      </c>
      <c r="T435" s="3">
        <v>2</v>
      </c>
      <c r="U435" s="4" t="str">
        <f t="shared" si="57"/>
        <v>Late_Delivery</v>
      </c>
      <c r="V435">
        <v>48</v>
      </c>
      <c r="W435" s="3">
        <f t="shared" si="58"/>
        <v>6</v>
      </c>
      <c r="X435" s="2">
        <v>45184</v>
      </c>
      <c r="Y435" s="1">
        <f>YEAR(Table2[[#This Row],[Delivery_Date]])</f>
        <v>2023</v>
      </c>
      <c r="Z435" s="2" t="str">
        <f t="shared" si="59"/>
        <v>Sep</v>
      </c>
      <c r="AA435" t="s">
        <v>469</v>
      </c>
      <c r="AB435">
        <f t="shared" si="60"/>
        <v>293.86080000000004</v>
      </c>
      <c r="AC435">
        <f>Table2[[#This Row],[Price]]*Table2[[#This Row],[Quantity]]*Table2[[#This Row],[COUPON %]]/100</f>
        <v>21.379200000000001</v>
      </c>
      <c r="AD435">
        <f t="shared" si="61"/>
        <v>245.86080000000001</v>
      </c>
      <c r="AE435" s="1">
        <f t="shared" si="62"/>
        <v>267.24</v>
      </c>
    </row>
    <row r="436" spans="1:31" x14ac:dyDescent="0.25">
      <c r="A436" t="s">
        <v>138</v>
      </c>
      <c r="B436" t="str">
        <f t="shared" si="54"/>
        <v xml:space="preserve">Hannah Gutierrez </v>
      </c>
      <c r="C436" t="s">
        <v>137</v>
      </c>
      <c r="D436" t="s">
        <v>136</v>
      </c>
      <c r="E436">
        <v>55</v>
      </c>
      <c r="F436" t="str">
        <f t="shared" si="55"/>
        <v>&gt;45</v>
      </c>
      <c r="G436" t="s">
        <v>29</v>
      </c>
      <c r="H436" t="s">
        <v>40</v>
      </c>
      <c r="I436" t="s">
        <v>135</v>
      </c>
      <c r="J436" t="str">
        <f t="shared" si="56"/>
        <v>yahoo.com</v>
      </c>
      <c r="K436" t="s">
        <v>134</v>
      </c>
      <c r="L436" t="s">
        <v>468</v>
      </c>
      <c r="M436" s="2">
        <v>45005</v>
      </c>
      <c r="N436" t="s">
        <v>467</v>
      </c>
      <c r="O436" t="s">
        <v>466</v>
      </c>
      <c r="P436">
        <v>104.18</v>
      </c>
      <c r="Q436">
        <v>1</v>
      </c>
      <c r="R436" t="s">
        <v>34</v>
      </c>
      <c r="S436" s="5">
        <v>8</v>
      </c>
      <c r="T436" s="3">
        <v>5</v>
      </c>
      <c r="U436" s="4" t="str">
        <f t="shared" si="57"/>
        <v>Before_time</v>
      </c>
      <c r="V436">
        <v>37</v>
      </c>
      <c r="W436" s="3">
        <f t="shared" si="58"/>
        <v>2</v>
      </c>
      <c r="X436" s="2">
        <v>45007</v>
      </c>
      <c r="Y436" s="1">
        <f>YEAR(Table2[[#This Row],[Delivery_Date]])</f>
        <v>2023</v>
      </c>
      <c r="Z436" s="2" t="str">
        <f t="shared" si="59"/>
        <v>Mar</v>
      </c>
      <c r="AA436" t="s">
        <v>465</v>
      </c>
      <c r="AB436">
        <f t="shared" si="60"/>
        <v>132.84559999999999</v>
      </c>
      <c r="AC436">
        <f>Table2[[#This Row],[Price]]*Table2[[#This Row],[Quantity]]*Table2[[#This Row],[COUPON %]]/100</f>
        <v>8.3344000000000005</v>
      </c>
      <c r="AD436">
        <f t="shared" si="61"/>
        <v>95.845600000000005</v>
      </c>
      <c r="AE436" s="1">
        <f t="shared" si="62"/>
        <v>104.18</v>
      </c>
    </row>
    <row r="437" spans="1:31" x14ac:dyDescent="0.25">
      <c r="A437" t="s">
        <v>464</v>
      </c>
      <c r="B437" t="str">
        <f t="shared" si="54"/>
        <v xml:space="preserve">Troy Gomez </v>
      </c>
      <c r="C437" t="s">
        <v>463</v>
      </c>
      <c r="D437" t="s">
        <v>462</v>
      </c>
      <c r="E437">
        <v>68</v>
      </c>
      <c r="F437" t="str">
        <f t="shared" si="55"/>
        <v>&gt;45</v>
      </c>
      <c r="G437" t="s">
        <v>108</v>
      </c>
      <c r="H437" t="s">
        <v>18</v>
      </c>
      <c r="I437" t="s">
        <v>461</v>
      </c>
      <c r="J437" t="str">
        <f t="shared" si="56"/>
        <v>outlook.com</v>
      </c>
      <c r="K437" t="s">
        <v>460</v>
      </c>
      <c r="L437" t="s">
        <v>459</v>
      </c>
      <c r="M437" s="2">
        <v>45536</v>
      </c>
      <c r="N437" t="s">
        <v>458</v>
      </c>
      <c r="O437" t="s">
        <v>457</v>
      </c>
      <c r="P437">
        <v>363.64</v>
      </c>
      <c r="Q437">
        <v>4</v>
      </c>
      <c r="R437" t="s">
        <v>64</v>
      </c>
      <c r="S437" s="5">
        <v>20</v>
      </c>
      <c r="T437" s="3">
        <v>2</v>
      </c>
      <c r="U437" s="4" t="str">
        <f t="shared" si="57"/>
        <v>Late_Delivery</v>
      </c>
      <c r="V437">
        <v>42</v>
      </c>
      <c r="W437" s="3">
        <f t="shared" si="58"/>
        <v>4</v>
      </c>
      <c r="X437" s="2">
        <v>45540</v>
      </c>
      <c r="Y437" s="1">
        <f>YEAR(Table2[[#This Row],[Delivery_Date]])</f>
        <v>2024</v>
      </c>
      <c r="Z437" s="2" t="str">
        <f t="shared" si="59"/>
        <v>Sep</v>
      </c>
      <c r="AA437" t="s">
        <v>456</v>
      </c>
      <c r="AB437">
        <f t="shared" si="60"/>
        <v>1205.6479999999999</v>
      </c>
      <c r="AC437">
        <f>Table2[[#This Row],[Price]]*Table2[[#This Row],[Quantity]]*Table2[[#This Row],[COUPON %]]/100</f>
        <v>290.91199999999998</v>
      </c>
      <c r="AD437">
        <f t="shared" si="61"/>
        <v>1163.6479999999999</v>
      </c>
      <c r="AE437" s="1">
        <f t="shared" si="62"/>
        <v>1454.56</v>
      </c>
    </row>
    <row r="438" spans="1:31" x14ac:dyDescent="0.25">
      <c r="A438" t="s">
        <v>243</v>
      </c>
      <c r="B438" t="str">
        <f t="shared" si="54"/>
        <v xml:space="preserve">Heather Schneider </v>
      </c>
      <c r="C438" t="s">
        <v>242</v>
      </c>
      <c r="D438" t="s">
        <v>241</v>
      </c>
      <c r="E438">
        <v>48</v>
      </c>
      <c r="F438" t="str">
        <f t="shared" si="55"/>
        <v>&gt;45</v>
      </c>
      <c r="G438" t="s">
        <v>29</v>
      </c>
      <c r="H438" t="s">
        <v>118</v>
      </c>
      <c r="I438" t="s">
        <v>240</v>
      </c>
      <c r="J438" t="str">
        <f t="shared" si="56"/>
        <v>outlook.com</v>
      </c>
      <c r="K438" t="s">
        <v>239</v>
      </c>
      <c r="L438" t="s">
        <v>455</v>
      </c>
      <c r="M438" s="2">
        <v>45310</v>
      </c>
      <c r="N438" t="s">
        <v>454</v>
      </c>
      <c r="O438" t="s">
        <v>54</v>
      </c>
      <c r="P438">
        <v>220.27</v>
      </c>
      <c r="Q438">
        <v>2</v>
      </c>
      <c r="R438" t="s">
        <v>93</v>
      </c>
      <c r="S438" s="5">
        <v>15</v>
      </c>
      <c r="T438" s="3">
        <v>7</v>
      </c>
      <c r="U438" s="4" t="str">
        <f t="shared" si="57"/>
        <v>On_time</v>
      </c>
      <c r="V438">
        <v>42</v>
      </c>
      <c r="W438" s="3">
        <f t="shared" si="58"/>
        <v>7</v>
      </c>
      <c r="X438" s="2">
        <v>45317</v>
      </c>
      <c r="Y438" s="1">
        <f>YEAR(Table2[[#This Row],[Delivery_Date]])</f>
        <v>2024</v>
      </c>
      <c r="Z438" s="2" t="str">
        <f t="shared" si="59"/>
        <v>Jan</v>
      </c>
      <c r="AA438" t="s">
        <v>453</v>
      </c>
      <c r="AB438">
        <f t="shared" si="60"/>
        <v>416.459</v>
      </c>
      <c r="AC438">
        <f>Table2[[#This Row],[Price]]*Table2[[#This Row],[Quantity]]*Table2[[#This Row],[COUPON %]]/100</f>
        <v>66.081000000000003</v>
      </c>
      <c r="AD438">
        <f t="shared" si="61"/>
        <v>374.459</v>
      </c>
      <c r="AE438" s="1">
        <f t="shared" si="62"/>
        <v>440.54</v>
      </c>
    </row>
    <row r="439" spans="1:31" x14ac:dyDescent="0.25">
      <c r="A439" t="s">
        <v>452</v>
      </c>
      <c r="B439" t="str">
        <f t="shared" si="54"/>
        <v xml:space="preserve">Kim Blevins </v>
      </c>
      <c r="C439" t="s">
        <v>451</v>
      </c>
      <c r="D439" t="s">
        <v>450</v>
      </c>
      <c r="E439">
        <v>65</v>
      </c>
      <c r="F439" t="str">
        <f t="shared" si="55"/>
        <v>&gt;45</v>
      </c>
      <c r="G439" t="s">
        <v>29</v>
      </c>
      <c r="H439" t="s">
        <v>118</v>
      </c>
      <c r="I439" t="s">
        <v>449</v>
      </c>
      <c r="J439" t="str">
        <f t="shared" si="56"/>
        <v>outlook.com</v>
      </c>
      <c r="K439" t="s">
        <v>448</v>
      </c>
      <c r="L439" t="s">
        <v>447</v>
      </c>
      <c r="M439" s="2">
        <v>45167</v>
      </c>
      <c r="N439" t="s">
        <v>446</v>
      </c>
      <c r="O439" t="s">
        <v>94</v>
      </c>
      <c r="P439">
        <v>33.49</v>
      </c>
      <c r="Q439">
        <v>3</v>
      </c>
      <c r="R439" t="s">
        <v>166</v>
      </c>
      <c r="S439" s="5">
        <v>10</v>
      </c>
      <c r="T439" s="3">
        <v>1</v>
      </c>
      <c r="U439" s="4" t="str">
        <f t="shared" si="57"/>
        <v>Late_Delivery</v>
      </c>
      <c r="V439">
        <v>50</v>
      </c>
      <c r="W439" s="3">
        <f t="shared" si="58"/>
        <v>5</v>
      </c>
      <c r="X439" s="2">
        <v>45172</v>
      </c>
      <c r="Y439" s="1">
        <f>YEAR(Table2[[#This Row],[Delivery_Date]])</f>
        <v>2023</v>
      </c>
      <c r="Z439" s="2" t="str">
        <f t="shared" si="59"/>
        <v>Sep</v>
      </c>
      <c r="AA439" t="s">
        <v>445</v>
      </c>
      <c r="AB439">
        <f t="shared" si="60"/>
        <v>140.423</v>
      </c>
      <c r="AC439">
        <f>Table2[[#This Row],[Price]]*Table2[[#This Row],[Quantity]]*Table2[[#This Row],[COUPON %]]/100</f>
        <v>10.047000000000001</v>
      </c>
      <c r="AD439">
        <f t="shared" si="61"/>
        <v>90.423000000000002</v>
      </c>
      <c r="AE439" s="1">
        <f t="shared" si="62"/>
        <v>100.47</v>
      </c>
    </row>
    <row r="440" spans="1:31" x14ac:dyDescent="0.25">
      <c r="A440" t="s">
        <v>444</v>
      </c>
      <c r="B440" t="str">
        <f t="shared" si="54"/>
        <v xml:space="preserve">Donna Oneill </v>
      </c>
      <c r="C440" t="s">
        <v>443</v>
      </c>
      <c r="D440" t="s">
        <v>442</v>
      </c>
      <c r="E440">
        <v>70</v>
      </c>
      <c r="F440" t="str">
        <f t="shared" si="55"/>
        <v>&gt;45</v>
      </c>
      <c r="G440" t="s">
        <v>108</v>
      </c>
      <c r="H440" t="s">
        <v>79</v>
      </c>
      <c r="I440" t="s">
        <v>441</v>
      </c>
      <c r="J440" t="str">
        <f t="shared" si="56"/>
        <v>yahoo.com</v>
      </c>
      <c r="K440" t="s">
        <v>440</v>
      </c>
      <c r="L440" t="s">
        <v>439</v>
      </c>
      <c r="M440" s="2">
        <v>45145</v>
      </c>
      <c r="N440" t="s">
        <v>438</v>
      </c>
      <c r="O440" t="s">
        <v>347</v>
      </c>
      <c r="P440">
        <v>157.63999999999999</v>
      </c>
      <c r="Q440">
        <v>2</v>
      </c>
      <c r="R440" t="s">
        <v>166</v>
      </c>
      <c r="S440" s="5">
        <v>10</v>
      </c>
      <c r="T440" s="3">
        <v>6</v>
      </c>
      <c r="U440" s="4" t="str">
        <f t="shared" si="57"/>
        <v>Before_time</v>
      </c>
      <c r="V440">
        <v>65</v>
      </c>
      <c r="W440" s="3">
        <f t="shared" si="58"/>
        <v>3</v>
      </c>
      <c r="X440" s="2">
        <v>45148</v>
      </c>
      <c r="Y440" s="1">
        <f>YEAR(Table2[[#This Row],[Delivery_Date]])</f>
        <v>2023</v>
      </c>
      <c r="Z440" s="2" t="str">
        <f t="shared" si="59"/>
        <v>Aug</v>
      </c>
      <c r="AA440" t="s">
        <v>437</v>
      </c>
      <c r="AB440">
        <f t="shared" si="60"/>
        <v>348.75200000000001</v>
      </c>
      <c r="AC440">
        <f>Table2[[#This Row],[Price]]*Table2[[#This Row],[Quantity]]*Table2[[#This Row],[COUPON %]]/100</f>
        <v>31.527999999999999</v>
      </c>
      <c r="AD440">
        <f t="shared" si="61"/>
        <v>283.75200000000001</v>
      </c>
      <c r="AE440" s="1">
        <f t="shared" si="62"/>
        <v>315.27999999999997</v>
      </c>
    </row>
    <row r="441" spans="1:31" x14ac:dyDescent="0.25">
      <c r="A441" t="s">
        <v>297</v>
      </c>
      <c r="B441" t="str">
        <f t="shared" si="54"/>
        <v xml:space="preserve">Erin Miller </v>
      </c>
      <c r="C441" t="s">
        <v>296</v>
      </c>
      <c r="D441" t="s">
        <v>295</v>
      </c>
      <c r="E441">
        <v>46</v>
      </c>
      <c r="F441" t="str">
        <f t="shared" si="55"/>
        <v>&gt;45</v>
      </c>
      <c r="G441" t="s">
        <v>108</v>
      </c>
      <c r="H441" t="s">
        <v>79</v>
      </c>
      <c r="I441" t="s">
        <v>294</v>
      </c>
      <c r="J441" t="str">
        <f t="shared" si="56"/>
        <v>gmail.com</v>
      </c>
      <c r="K441" t="s">
        <v>293</v>
      </c>
      <c r="L441" t="s">
        <v>436</v>
      </c>
      <c r="M441" s="2">
        <v>45010</v>
      </c>
      <c r="N441" t="s">
        <v>435</v>
      </c>
      <c r="O441" t="s">
        <v>113</v>
      </c>
      <c r="P441">
        <v>441.03</v>
      </c>
      <c r="Q441">
        <v>5</v>
      </c>
      <c r="R441" t="s">
        <v>64</v>
      </c>
      <c r="S441" s="5">
        <v>20</v>
      </c>
      <c r="T441" s="3">
        <v>7</v>
      </c>
      <c r="U441" s="4" t="str">
        <f t="shared" si="57"/>
        <v>Before_time</v>
      </c>
      <c r="V441">
        <v>36</v>
      </c>
      <c r="W441" s="3">
        <f t="shared" si="58"/>
        <v>6</v>
      </c>
      <c r="X441" s="2">
        <v>45016</v>
      </c>
      <c r="Y441" s="1">
        <f>YEAR(Table2[[#This Row],[Delivery_Date]])</f>
        <v>2023</v>
      </c>
      <c r="Z441" s="2" t="str">
        <f t="shared" si="59"/>
        <v>Mar</v>
      </c>
      <c r="AA441" t="s">
        <v>434</v>
      </c>
      <c r="AB441">
        <f t="shared" si="60"/>
        <v>1800.12</v>
      </c>
      <c r="AC441">
        <f>Table2[[#This Row],[Price]]*Table2[[#This Row],[Quantity]]*Table2[[#This Row],[COUPON %]]/100</f>
        <v>441.02999999999992</v>
      </c>
      <c r="AD441">
        <f t="shared" si="61"/>
        <v>1764.12</v>
      </c>
      <c r="AE441" s="1">
        <f t="shared" si="62"/>
        <v>2205.1499999999996</v>
      </c>
    </row>
    <row r="442" spans="1:31" x14ac:dyDescent="0.25">
      <c r="A442" t="s">
        <v>433</v>
      </c>
      <c r="B442" t="str">
        <f t="shared" si="54"/>
        <v xml:space="preserve">Jodi Whitney </v>
      </c>
      <c r="C442" t="s">
        <v>432</v>
      </c>
      <c r="D442" t="s">
        <v>431</v>
      </c>
      <c r="E442">
        <v>33</v>
      </c>
      <c r="F442" t="str">
        <f t="shared" si="55"/>
        <v>26-35</v>
      </c>
      <c r="G442" t="s">
        <v>8</v>
      </c>
      <c r="H442" t="s">
        <v>79</v>
      </c>
      <c r="I442" t="s">
        <v>430</v>
      </c>
      <c r="J442" t="str">
        <f t="shared" si="56"/>
        <v>yahoo.com</v>
      </c>
      <c r="K442" t="s">
        <v>429</v>
      </c>
      <c r="L442" t="s">
        <v>428</v>
      </c>
      <c r="M442" s="2">
        <v>45628</v>
      </c>
      <c r="N442" t="s">
        <v>427</v>
      </c>
      <c r="O442" t="s">
        <v>426</v>
      </c>
      <c r="P442">
        <v>369.03</v>
      </c>
      <c r="Q442">
        <v>4</v>
      </c>
      <c r="R442" t="s">
        <v>34</v>
      </c>
      <c r="S442" s="5">
        <v>8</v>
      </c>
      <c r="T442" s="3">
        <v>5</v>
      </c>
      <c r="U442" s="4" t="str">
        <f t="shared" si="57"/>
        <v>Before_time</v>
      </c>
      <c r="V442">
        <v>48</v>
      </c>
      <c r="W442" s="3">
        <f t="shared" si="58"/>
        <v>1</v>
      </c>
      <c r="X442" s="2">
        <v>45629</v>
      </c>
      <c r="Y442" s="1">
        <f>YEAR(Table2[[#This Row],[Delivery_Date]])</f>
        <v>2024</v>
      </c>
      <c r="Z442" s="2" t="str">
        <f t="shared" si="59"/>
        <v>Dec</v>
      </c>
      <c r="AA442" t="s">
        <v>425</v>
      </c>
      <c r="AB442">
        <f t="shared" si="60"/>
        <v>1406.0303999999999</v>
      </c>
      <c r="AC442">
        <f>Table2[[#This Row],[Price]]*Table2[[#This Row],[Quantity]]*Table2[[#This Row],[COUPON %]]/100</f>
        <v>118.08959999999999</v>
      </c>
      <c r="AD442">
        <f t="shared" si="61"/>
        <v>1358.0303999999999</v>
      </c>
      <c r="AE442" s="1">
        <f t="shared" si="62"/>
        <v>1476.12</v>
      </c>
    </row>
    <row r="443" spans="1:31" x14ac:dyDescent="0.25">
      <c r="A443" t="s">
        <v>121</v>
      </c>
      <c r="B443" t="str">
        <f t="shared" si="54"/>
        <v xml:space="preserve">Aaron Thompson </v>
      </c>
      <c r="C443" t="s">
        <v>120</v>
      </c>
      <c r="D443" t="s">
        <v>119</v>
      </c>
      <c r="E443">
        <v>47</v>
      </c>
      <c r="F443" t="str">
        <f t="shared" si="55"/>
        <v>&gt;45</v>
      </c>
      <c r="G443" t="s">
        <v>29</v>
      </c>
      <c r="H443" t="s">
        <v>118</v>
      </c>
      <c r="I443" t="s">
        <v>117</v>
      </c>
      <c r="J443" t="str">
        <f t="shared" si="56"/>
        <v>gmail.com</v>
      </c>
      <c r="K443" t="s">
        <v>116</v>
      </c>
      <c r="L443" t="s">
        <v>424</v>
      </c>
      <c r="M443" s="2">
        <v>45529</v>
      </c>
      <c r="N443" t="s">
        <v>423</v>
      </c>
      <c r="O443" t="s">
        <v>74</v>
      </c>
      <c r="P443">
        <v>129.75</v>
      </c>
      <c r="Q443">
        <v>2</v>
      </c>
      <c r="R443" t="s">
        <v>64</v>
      </c>
      <c r="S443" s="5">
        <v>20</v>
      </c>
      <c r="T443" s="3">
        <v>5</v>
      </c>
      <c r="U443" s="4" t="str">
        <f t="shared" si="57"/>
        <v>Before_time</v>
      </c>
      <c r="V443">
        <v>47</v>
      </c>
      <c r="W443" s="3">
        <f t="shared" si="58"/>
        <v>3</v>
      </c>
      <c r="X443" s="2">
        <v>45532</v>
      </c>
      <c r="Y443" s="1">
        <f>YEAR(Table2[[#This Row],[Delivery_Date]])</f>
        <v>2024</v>
      </c>
      <c r="Z443" s="2" t="str">
        <f t="shared" si="59"/>
        <v>Aug</v>
      </c>
      <c r="AA443" t="s">
        <v>422</v>
      </c>
      <c r="AB443">
        <f t="shared" si="60"/>
        <v>254.60000000000002</v>
      </c>
      <c r="AC443">
        <f>Table2[[#This Row],[Price]]*Table2[[#This Row],[Quantity]]*Table2[[#This Row],[COUPON %]]/100</f>
        <v>51.9</v>
      </c>
      <c r="AD443">
        <f t="shared" si="61"/>
        <v>207.60000000000002</v>
      </c>
      <c r="AE443" s="1">
        <f t="shared" si="62"/>
        <v>259.5</v>
      </c>
    </row>
    <row r="444" spans="1:31" x14ac:dyDescent="0.25">
      <c r="A444" t="s">
        <v>421</v>
      </c>
      <c r="B444" t="str">
        <f t="shared" si="54"/>
        <v xml:space="preserve">Angela Casey </v>
      </c>
      <c r="C444" t="s">
        <v>10</v>
      </c>
      <c r="D444" t="s">
        <v>420</v>
      </c>
      <c r="E444">
        <v>40</v>
      </c>
      <c r="F444" t="str">
        <f t="shared" si="55"/>
        <v>36-45</v>
      </c>
      <c r="G444" t="s">
        <v>108</v>
      </c>
      <c r="H444" t="s">
        <v>28</v>
      </c>
      <c r="I444" t="s">
        <v>419</v>
      </c>
      <c r="J444" t="str">
        <f t="shared" si="56"/>
        <v>gmail.com</v>
      </c>
      <c r="K444" t="s">
        <v>418</v>
      </c>
      <c r="L444" t="s">
        <v>417</v>
      </c>
      <c r="M444" s="2">
        <v>45175</v>
      </c>
      <c r="N444" t="s">
        <v>416</v>
      </c>
      <c r="O444" t="s">
        <v>65</v>
      </c>
      <c r="P444">
        <v>20.7</v>
      </c>
      <c r="Q444">
        <v>2</v>
      </c>
      <c r="R444" t="s">
        <v>34</v>
      </c>
      <c r="S444" s="5">
        <v>8</v>
      </c>
      <c r="T444" s="3">
        <v>5</v>
      </c>
      <c r="U444" s="4" t="str">
        <f t="shared" si="57"/>
        <v>Before_time</v>
      </c>
      <c r="V444">
        <v>61</v>
      </c>
      <c r="W444" s="3">
        <f t="shared" si="58"/>
        <v>2</v>
      </c>
      <c r="X444" s="2">
        <v>45177</v>
      </c>
      <c r="Y444" s="1">
        <f>YEAR(Table2[[#This Row],[Delivery_Date]])</f>
        <v>2023</v>
      </c>
      <c r="Z444" s="2" t="str">
        <f t="shared" si="59"/>
        <v>Sep</v>
      </c>
      <c r="AA444" t="s">
        <v>415</v>
      </c>
      <c r="AB444">
        <f t="shared" si="60"/>
        <v>99.087999999999994</v>
      </c>
      <c r="AC444">
        <f>Table2[[#This Row],[Price]]*Table2[[#This Row],[Quantity]]*Table2[[#This Row],[COUPON %]]/100</f>
        <v>3.3119999999999998</v>
      </c>
      <c r="AD444">
        <f t="shared" si="61"/>
        <v>38.088000000000001</v>
      </c>
      <c r="AE444" s="1">
        <f t="shared" si="62"/>
        <v>41.4</v>
      </c>
    </row>
    <row r="445" spans="1:31" x14ac:dyDescent="0.25">
      <c r="A445" t="s">
        <v>414</v>
      </c>
      <c r="B445" t="str">
        <f t="shared" si="54"/>
        <v xml:space="preserve">Lisa Miller </v>
      </c>
      <c r="C445" t="s">
        <v>413</v>
      </c>
      <c r="D445" t="s">
        <v>295</v>
      </c>
      <c r="E445">
        <v>70</v>
      </c>
      <c r="F445" t="str">
        <f t="shared" si="55"/>
        <v>&gt;45</v>
      </c>
      <c r="G445" t="s">
        <v>29</v>
      </c>
      <c r="H445" t="s">
        <v>118</v>
      </c>
      <c r="I445" t="s">
        <v>412</v>
      </c>
      <c r="J445" t="str">
        <f t="shared" si="56"/>
        <v>gmail.com</v>
      </c>
      <c r="K445" t="s">
        <v>411</v>
      </c>
      <c r="L445" t="s">
        <v>410</v>
      </c>
      <c r="M445" s="2">
        <v>45379</v>
      </c>
      <c r="N445" t="s">
        <v>409</v>
      </c>
      <c r="O445" t="s">
        <v>290</v>
      </c>
      <c r="P445">
        <v>372.62</v>
      </c>
      <c r="Q445">
        <v>2</v>
      </c>
      <c r="R445" t="s">
        <v>166</v>
      </c>
      <c r="S445" s="5">
        <v>10</v>
      </c>
      <c r="T445" s="3">
        <v>4</v>
      </c>
      <c r="U445" s="4" t="str">
        <f t="shared" si="57"/>
        <v>Before_time</v>
      </c>
      <c r="V445">
        <v>57</v>
      </c>
      <c r="W445" s="3">
        <f t="shared" si="58"/>
        <v>3</v>
      </c>
      <c r="X445" s="2">
        <v>45382</v>
      </c>
      <c r="Y445" s="1">
        <f>YEAR(Table2[[#This Row],[Delivery_Date]])</f>
        <v>2024</v>
      </c>
      <c r="Z445" s="2" t="str">
        <f t="shared" si="59"/>
        <v>Mar</v>
      </c>
      <c r="AA445" t="s">
        <v>408</v>
      </c>
      <c r="AB445">
        <f t="shared" si="60"/>
        <v>727.71600000000001</v>
      </c>
      <c r="AC445">
        <f>Table2[[#This Row],[Price]]*Table2[[#This Row],[Quantity]]*Table2[[#This Row],[COUPON %]]/100</f>
        <v>74.524000000000001</v>
      </c>
      <c r="AD445">
        <f t="shared" si="61"/>
        <v>670.71600000000001</v>
      </c>
      <c r="AE445" s="1">
        <f t="shared" si="62"/>
        <v>745.24</v>
      </c>
    </row>
    <row r="446" spans="1:31" x14ac:dyDescent="0.25">
      <c r="A446" t="s">
        <v>394</v>
      </c>
      <c r="B446" t="str">
        <f t="shared" si="54"/>
        <v xml:space="preserve">Gary Jacobs </v>
      </c>
      <c r="C446" t="s">
        <v>393</v>
      </c>
      <c r="D446" t="s">
        <v>392</v>
      </c>
      <c r="E446">
        <v>64</v>
      </c>
      <c r="F446" t="str">
        <f t="shared" si="55"/>
        <v>&gt;45</v>
      </c>
      <c r="G446" t="s">
        <v>29</v>
      </c>
      <c r="H446" t="s">
        <v>28</v>
      </c>
      <c r="I446" t="s">
        <v>391</v>
      </c>
      <c r="J446" t="str">
        <f t="shared" si="56"/>
        <v>gmail.com</v>
      </c>
      <c r="K446" t="s">
        <v>390</v>
      </c>
      <c r="L446" t="s">
        <v>407</v>
      </c>
      <c r="M446" s="2">
        <v>45633</v>
      </c>
      <c r="N446" t="s">
        <v>406</v>
      </c>
      <c r="O446" t="s">
        <v>123</v>
      </c>
      <c r="P446">
        <v>107.47</v>
      </c>
      <c r="Q446">
        <v>4</v>
      </c>
      <c r="R446" t="s">
        <v>64</v>
      </c>
      <c r="S446" s="5">
        <v>20</v>
      </c>
      <c r="T446" s="3">
        <v>5</v>
      </c>
      <c r="U446" s="4" t="str">
        <f t="shared" si="57"/>
        <v>Before_time</v>
      </c>
      <c r="V446">
        <v>42</v>
      </c>
      <c r="W446" s="3">
        <f t="shared" si="58"/>
        <v>4</v>
      </c>
      <c r="X446" s="2">
        <v>45637</v>
      </c>
      <c r="Y446" s="1">
        <f>YEAR(Table2[[#This Row],[Delivery_Date]])</f>
        <v>2024</v>
      </c>
      <c r="Z446" s="2" t="str">
        <f t="shared" si="59"/>
        <v>Dec</v>
      </c>
      <c r="AA446" t="s">
        <v>405</v>
      </c>
      <c r="AB446">
        <f t="shared" si="60"/>
        <v>385.904</v>
      </c>
      <c r="AC446">
        <f>Table2[[#This Row],[Price]]*Table2[[#This Row],[Quantity]]*Table2[[#This Row],[COUPON %]]/100</f>
        <v>85.975999999999999</v>
      </c>
      <c r="AD446">
        <f t="shared" si="61"/>
        <v>343.904</v>
      </c>
      <c r="AE446" s="1">
        <f t="shared" si="62"/>
        <v>429.88</v>
      </c>
    </row>
    <row r="447" spans="1:31" x14ac:dyDescent="0.25">
      <c r="A447" t="s">
        <v>394</v>
      </c>
      <c r="B447" t="str">
        <f t="shared" si="54"/>
        <v xml:space="preserve">Gary Jacobs </v>
      </c>
      <c r="C447" t="s">
        <v>393</v>
      </c>
      <c r="D447" t="s">
        <v>392</v>
      </c>
      <c r="E447">
        <v>64</v>
      </c>
      <c r="F447" t="str">
        <f t="shared" si="55"/>
        <v>&gt;45</v>
      </c>
      <c r="G447" t="s">
        <v>29</v>
      </c>
      <c r="H447" t="s">
        <v>28</v>
      </c>
      <c r="I447" t="s">
        <v>391</v>
      </c>
      <c r="J447" t="str">
        <f t="shared" si="56"/>
        <v>gmail.com</v>
      </c>
      <c r="K447" t="s">
        <v>390</v>
      </c>
      <c r="L447" t="s">
        <v>404</v>
      </c>
      <c r="M447" s="2">
        <v>45539</v>
      </c>
      <c r="N447" t="s">
        <v>403</v>
      </c>
      <c r="O447" t="s">
        <v>140</v>
      </c>
      <c r="P447">
        <v>308.88</v>
      </c>
      <c r="Q447">
        <v>2</v>
      </c>
      <c r="R447" t="s">
        <v>64</v>
      </c>
      <c r="S447" s="5">
        <v>20</v>
      </c>
      <c r="T447" s="3">
        <v>2</v>
      </c>
      <c r="U447" s="4" t="str">
        <f t="shared" si="57"/>
        <v>On_time</v>
      </c>
      <c r="V447">
        <v>55</v>
      </c>
      <c r="W447" s="3">
        <f t="shared" si="58"/>
        <v>2</v>
      </c>
      <c r="X447" s="2">
        <v>45541</v>
      </c>
      <c r="Y447" s="1">
        <f>YEAR(Table2[[#This Row],[Delivery_Date]])</f>
        <v>2024</v>
      </c>
      <c r="Z447" s="2" t="str">
        <f t="shared" si="59"/>
        <v>Sep</v>
      </c>
      <c r="AA447" t="s">
        <v>402</v>
      </c>
      <c r="AB447">
        <f t="shared" si="60"/>
        <v>549.20800000000008</v>
      </c>
      <c r="AC447">
        <f>Table2[[#This Row],[Price]]*Table2[[#This Row],[Quantity]]*Table2[[#This Row],[COUPON %]]/100</f>
        <v>123.55200000000001</v>
      </c>
      <c r="AD447">
        <f t="shared" si="61"/>
        <v>494.20800000000003</v>
      </c>
      <c r="AE447" s="1">
        <f t="shared" si="62"/>
        <v>617.76</v>
      </c>
    </row>
    <row r="448" spans="1:31" x14ac:dyDescent="0.25">
      <c r="A448" t="s">
        <v>371</v>
      </c>
      <c r="B448" t="str">
        <f t="shared" si="54"/>
        <v xml:space="preserve">Anthony Thomas </v>
      </c>
      <c r="C448" t="s">
        <v>370</v>
      </c>
      <c r="D448" t="s">
        <v>369</v>
      </c>
      <c r="E448">
        <v>53</v>
      </c>
      <c r="F448" t="str">
        <f t="shared" si="55"/>
        <v>&gt;45</v>
      </c>
      <c r="G448" t="s">
        <v>29</v>
      </c>
      <c r="H448" t="s">
        <v>7</v>
      </c>
      <c r="I448" t="s">
        <v>368</v>
      </c>
      <c r="J448" t="str">
        <f t="shared" si="56"/>
        <v>rediffmail.com</v>
      </c>
      <c r="K448" t="s">
        <v>367</v>
      </c>
      <c r="L448" t="s">
        <v>401</v>
      </c>
      <c r="M448" s="2">
        <v>45684</v>
      </c>
      <c r="N448" t="s">
        <v>400</v>
      </c>
      <c r="O448" t="s">
        <v>84</v>
      </c>
      <c r="P448">
        <v>62.42</v>
      </c>
      <c r="Q448">
        <v>5</v>
      </c>
      <c r="R448" t="s">
        <v>93</v>
      </c>
      <c r="S448" s="5">
        <v>15</v>
      </c>
      <c r="T448" s="3">
        <v>6</v>
      </c>
      <c r="U448" s="4" t="str">
        <f t="shared" si="57"/>
        <v>On_time</v>
      </c>
      <c r="V448">
        <v>69</v>
      </c>
      <c r="W448" s="3">
        <f t="shared" si="58"/>
        <v>6</v>
      </c>
      <c r="X448" s="2">
        <v>45690</v>
      </c>
      <c r="Y448" s="1">
        <f>YEAR(Table2[[#This Row],[Delivery_Date]])</f>
        <v>2025</v>
      </c>
      <c r="Z448" s="2" t="str">
        <f t="shared" si="59"/>
        <v>Feb</v>
      </c>
      <c r="AA448" t="s">
        <v>399</v>
      </c>
      <c r="AB448">
        <f t="shared" si="60"/>
        <v>334.28500000000003</v>
      </c>
      <c r="AC448">
        <f>Table2[[#This Row],[Price]]*Table2[[#This Row],[Quantity]]*Table2[[#This Row],[COUPON %]]/100</f>
        <v>46.814999999999998</v>
      </c>
      <c r="AD448">
        <f t="shared" si="61"/>
        <v>265.28500000000003</v>
      </c>
      <c r="AE448" s="1">
        <f t="shared" si="62"/>
        <v>312.10000000000002</v>
      </c>
    </row>
    <row r="449" spans="1:31" x14ac:dyDescent="0.25">
      <c r="A449" t="s">
        <v>255</v>
      </c>
      <c r="B449" t="str">
        <f t="shared" si="54"/>
        <v xml:space="preserve">Lauren Crane </v>
      </c>
      <c r="C449" t="s">
        <v>254</v>
      </c>
      <c r="D449" t="s">
        <v>253</v>
      </c>
      <c r="E449">
        <v>62</v>
      </c>
      <c r="F449" t="str">
        <f t="shared" si="55"/>
        <v>&gt;45</v>
      </c>
      <c r="G449" t="s">
        <v>29</v>
      </c>
      <c r="H449" t="s">
        <v>7</v>
      </c>
      <c r="I449" t="s">
        <v>252</v>
      </c>
      <c r="J449" t="str">
        <f t="shared" si="56"/>
        <v>yahoo.com</v>
      </c>
      <c r="K449" t="s">
        <v>251</v>
      </c>
      <c r="L449" t="s">
        <v>398</v>
      </c>
      <c r="M449" s="2">
        <v>45429</v>
      </c>
      <c r="N449" t="s">
        <v>397</v>
      </c>
      <c r="O449" t="s">
        <v>396</v>
      </c>
      <c r="P449">
        <v>286.07</v>
      </c>
      <c r="Q449">
        <v>1</v>
      </c>
      <c r="R449" t="s">
        <v>1</v>
      </c>
      <c r="S449" s="5">
        <v>0</v>
      </c>
      <c r="T449" s="3">
        <v>4</v>
      </c>
      <c r="U449" s="4" t="str">
        <f t="shared" si="57"/>
        <v>Late_Delivery</v>
      </c>
      <c r="V449">
        <v>43</v>
      </c>
      <c r="W449" s="3">
        <f t="shared" si="58"/>
        <v>5</v>
      </c>
      <c r="X449" s="2">
        <v>45434</v>
      </c>
      <c r="Y449" s="1">
        <f>YEAR(Table2[[#This Row],[Delivery_Date]])</f>
        <v>2024</v>
      </c>
      <c r="Z449" s="2" t="str">
        <f t="shared" si="59"/>
        <v>May</v>
      </c>
      <c r="AA449" t="s">
        <v>395</v>
      </c>
      <c r="AB449">
        <f t="shared" si="60"/>
        <v>329.07</v>
      </c>
      <c r="AC449">
        <f>Table2[[#This Row],[Price]]*Table2[[#This Row],[Quantity]]*Table2[[#This Row],[COUPON %]]/100</f>
        <v>0</v>
      </c>
      <c r="AD449">
        <f t="shared" si="61"/>
        <v>286.07</v>
      </c>
      <c r="AE449" s="1">
        <f t="shared" si="62"/>
        <v>286.07</v>
      </c>
    </row>
    <row r="450" spans="1:31" x14ac:dyDescent="0.25">
      <c r="A450" t="s">
        <v>394</v>
      </c>
      <c r="B450" t="str">
        <f t="shared" ref="B450:B501" si="63">CONCATENATE(C450," ", D450," ")</f>
        <v xml:space="preserve">Gary Jacobs </v>
      </c>
      <c r="C450" t="s">
        <v>393</v>
      </c>
      <c r="D450" t="s">
        <v>392</v>
      </c>
      <c r="E450">
        <v>64</v>
      </c>
      <c r="F450" t="str">
        <f t="shared" ref="F450:F501" si="64">IF(E450&lt;=25,"0-25",IF(E450&lt;=35,"26-35",IF(E450&lt;=45,"36-45","&gt;45")))</f>
        <v>&gt;45</v>
      </c>
      <c r="G450" t="s">
        <v>29</v>
      </c>
      <c r="H450" t="s">
        <v>28</v>
      </c>
      <c r="I450" t="s">
        <v>391</v>
      </c>
      <c r="J450" t="str">
        <f t="shared" ref="J450:J501" si="65">MID(I450,FIND("@",I450)+1,100)</f>
        <v>gmail.com</v>
      </c>
      <c r="K450" t="s">
        <v>390</v>
      </c>
      <c r="L450" t="s">
        <v>389</v>
      </c>
      <c r="M450" s="2">
        <v>45379</v>
      </c>
      <c r="N450" t="s">
        <v>388</v>
      </c>
      <c r="O450" t="s">
        <v>211</v>
      </c>
      <c r="P450">
        <v>166.28</v>
      </c>
      <c r="Q450">
        <v>2</v>
      </c>
      <c r="R450" t="s">
        <v>64</v>
      </c>
      <c r="S450" s="5">
        <v>20</v>
      </c>
      <c r="T450" s="3">
        <v>4</v>
      </c>
      <c r="U450" s="4" t="str">
        <f t="shared" ref="U450:U501" si="66">IF(W450&lt;T450,"Before_time",IF(W450&gt;T450,"Late_Delivery","On_time"))</f>
        <v>Late_Delivery</v>
      </c>
      <c r="V450">
        <v>40</v>
      </c>
      <c r="W450" s="3">
        <f t="shared" ref="W450:W501" si="67">DATEDIF(M450,X450,"D")</f>
        <v>5</v>
      </c>
      <c r="X450" s="2">
        <v>45384</v>
      </c>
      <c r="Y450" s="1">
        <f>YEAR(Table2[[#This Row],[Delivery_Date]])</f>
        <v>2024</v>
      </c>
      <c r="Z450" s="2" t="str">
        <f t="shared" ref="Z450:Z501" si="68">TEXT(X450,"mmm")</f>
        <v>Apr</v>
      </c>
      <c r="AA450" t="s">
        <v>387</v>
      </c>
      <c r="AB450">
        <f t="shared" ref="AB450:AB501" si="69">AD450+V450</f>
        <v>306.048</v>
      </c>
      <c r="AC450">
        <f>Table2[[#This Row],[Price]]*Table2[[#This Row],[Quantity]]*Table2[[#This Row],[COUPON %]]/100</f>
        <v>66.512</v>
      </c>
      <c r="AD450">
        <f t="shared" ref="AD450:AD501" si="70">P450*Q450*(1-S450/100)</f>
        <v>266.048</v>
      </c>
      <c r="AE450" s="1">
        <f t="shared" ref="AE450:AE501" si="71">P450*Q450</f>
        <v>332.56</v>
      </c>
    </row>
    <row r="451" spans="1:31" x14ac:dyDescent="0.25">
      <c r="A451" t="s">
        <v>386</v>
      </c>
      <c r="B451" t="str">
        <f t="shared" si="63"/>
        <v xml:space="preserve">William Mann </v>
      </c>
      <c r="C451" t="s">
        <v>385</v>
      </c>
      <c r="D451" t="s">
        <v>384</v>
      </c>
      <c r="E451">
        <v>21</v>
      </c>
      <c r="F451" t="str">
        <f t="shared" si="64"/>
        <v>0-25</v>
      </c>
      <c r="G451" t="s">
        <v>108</v>
      </c>
      <c r="H451" t="s">
        <v>7</v>
      </c>
      <c r="I451" t="s">
        <v>383</v>
      </c>
      <c r="J451" t="str">
        <f t="shared" si="65"/>
        <v>yahoo.com</v>
      </c>
      <c r="K451" t="s">
        <v>382</v>
      </c>
      <c r="L451" t="s">
        <v>381</v>
      </c>
      <c r="M451" s="2">
        <v>45638</v>
      </c>
      <c r="N451" t="s">
        <v>380</v>
      </c>
      <c r="O451" t="s">
        <v>45</v>
      </c>
      <c r="P451">
        <v>433.62</v>
      </c>
      <c r="Q451">
        <v>2</v>
      </c>
      <c r="R451" t="s">
        <v>166</v>
      </c>
      <c r="S451" s="5">
        <v>10</v>
      </c>
      <c r="T451" s="3">
        <v>7</v>
      </c>
      <c r="U451" s="4" t="str">
        <f t="shared" si="66"/>
        <v>Before_time</v>
      </c>
      <c r="V451">
        <v>39</v>
      </c>
      <c r="W451" s="3">
        <f t="shared" si="67"/>
        <v>6</v>
      </c>
      <c r="X451" s="2">
        <v>45644</v>
      </c>
      <c r="Y451" s="1">
        <f>YEAR(Table2[[#This Row],[Delivery_Date]])</f>
        <v>2024</v>
      </c>
      <c r="Z451" s="2" t="str">
        <f t="shared" si="68"/>
        <v>Dec</v>
      </c>
      <c r="AA451" t="s">
        <v>379</v>
      </c>
      <c r="AB451">
        <f t="shared" si="69"/>
        <v>819.51600000000008</v>
      </c>
      <c r="AC451">
        <f>Table2[[#This Row],[Price]]*Table2[[#This Row],[Quantity]]*Table2[[#This Row],[COUPON %]]/100</f>
        <v>86.72399999999999</v>
      </c>
      <c r="AD451">
        <f t="shared" si="70"/>
        <v>780.51600000000008</v>
      </c>
      <c r="AE451" s="1">
        <f t="shared" si="71"/>
        <v>867.24</v>
      </c>
    </row>
    <row r="452" spans="1:31" x14ac:dyDescent="0.25">
      <c r="A452" t="s">
        <v>378</v>
      </c>
      <c r="B452" t="str">
        <f t="shared" si="63"/>
        <v xml:space="preserve">Thomas Andersen </v>
      </c>
      <c r="C452" t="s">
        <v>369</v>
      </c>
      <c r="D452" t="s">
        <v>377</v>
      </c>
      <c r="E452">
        <v>50</v>
      </c>
      <c r="F452" t="str">
        <f t="shared" si="64"/>
        <v>&gt;45</v>
      </c>
      <c r="G452" t="s">
        <v>8</v>
      </c>
      <c r="H452" t="s">
        <v>59</v>
      </c>
      <c r="I452" t="s">
        <v>376</v>
      </c>
      <c r="J452" t="str">
        <f t="shared" si="65"/>
        <v>yahoo.com</v>
      </c>
      <c r="K452" t="s">
        <v>375</v>
      </c>
      <c r="L452" t="s">
        <v>374</v>
      </c>
      <c r="M452" s="2">
        <v>45149</v>
      </c>
      <c r="N452" t="s">
        <v>373</v>
      </c>
      <c r="O452" t="s">
        <v>181</v>
      </c>
      <c r="P452">
        <v>405</v>
      </c>
      <c r="Q452">
        <v>3</v>
      </c>
      <c r="R452" t="s">
        <v>166</v>
      </c>
      <c r="S452" s="5">
        <v>10</v>
      </c>
      <c r="T452" s="3">
        <v>6</v>
      </c>
      <c r="U452" s="4" t="str">
        <f t="shared" si="66"/>
        <v>Before_time</v>
      </c>
      <c r="V452">
        <v>36</v>
      </c>
      <c r="W452" s="3">
        <f t="shared" si="67"/>
        <v>4</v>
      </c>
      <c r="X452" s="2">
        <v>45153</v>
      </c>
      <c r="Y452" s="1">
        <f>YEAR(Table2[[#This Row],[Delivery_Date]])</f>
        <v>2023</v>
      </c>
      <c r="Z452" s="2" t="str">
        <f t="shared" si="68"/>
        <v>Aug</v>
      </c>
      <c r="AA452" t="s">
        <v>372</v>
      </c>
      <c r="AB452">
        <f t="shared" si="69"/>
        <v>1129.5</v>
      </c>
      <c r="AC452">
        <f>Table2[[#This Row],[Price]]*Table2[[#This Row],[Quantity]]*Table2[[#This Row],[COUPON %]]/100</f>
        <v>121.5</v>
      </c>
      <c r="AD452">
        <f t="shared" si="70"/>
        <v>1093.5</v>
      </c>
      <c r="AE452" s="1">
        <f t="shared" si="71"/>
        <v>1215</v>
      </c>
    </row>
    <row r="453" spans="1:31" x14ac:dyDescent="0.25">
      <c r="A453" t="s">
        <v>371</v>
      </c>
      <c r="B453" t="str">
        <f t="shared" si="63"/>
        <v xml:space="preserve">Anthony Thomas </v>
      </c>
      <c r="C453" t="s">
        <v>370</v>
      </c>
      <c r="D453" t="s">
        <v>369</v>
      </c>
      <c r="E453">
        <v>53</v>
      </c>
      <c r="F453" t="str">
        <f t="shared" si="64"/>
        <v>&gt;45</v>
      </c>
      <c r="G453" t="s">
        <v>29</v>
      </c>
      <c r="H453" t="s">
        <v>7</v>
      </c>
      <c r="I453" t="s">
        <v>368</v>
      </c>
      <c r="J453" t="str">
        <f t="shared" si="65"/>
        <v>rediffmail.com</v>
      </c>
      <c r="K453" t="s">
        <v>367</v>
      </c>
      <c r="L453" t="s">
        <v>366</v>
      </c>
      <c r="M453" s="2">
        <v>45076</v>
      </c>
      <c r="N453" t="s">
        <v>365</v>
      </c>
      <c r="O453" t="s">
        <v>361</v>
      </c>
      <c r="P453">
        <v>330.11</v>
      </c>
      <c r="Q453">
        <v>3</v>
      </c>
      <c r="R453" t="s">
        <v>64</v>
      </c>
      <c r="S453" s="5">
        <v>20</v>
      </c>
      <c r="T453" s="3">
        <v>7</v>
      </c>
      <c r="U453" s="4" t="str">
        <f t="shared" si="66"/>
        <v>Before_time</v>
      </c>
      <c r="V453">
        <v>40</v>
      </c>
      <c r="W453" s="3">
        <f t="shared" si="67"/>
        <v>4</v>
      </c>
      <c r="X453" s="2">
        <v>45080</v>
      </c>
      <c r="Y453" s="1">
        <f>YEAR(Table2[[#This Row],[Delivery_Date]])</f>
        <v>2023</v>
      </c>
      <c r="Z453" s="2" t="str">
        <f t="shared" si="68"/>
        <v>Jun</v>
      </c>
      <c r="AA453" t="s">
        <v>364</v>
      </c>
      <c r="AB453">
        <f t="shared" si="69"/>
        <v>832.26400000000012</v>
      </c>
      <c r="AC453">
        <f>Table2[[#This Row],[Price]]*Table2[[#This Row],[Quantity]]*Table2[[#This Row],[COUPON %]]/100</f>
        <v>198.06600000000003</v>
      </c>
      <c r="AD453">
        <f t="shared" si="70"/>
        <v>792.26400000000012</v>
      </c>
      <c r="AE453" s="1">
        <f t="shared" si="71"/>
        <v>990.33</v>
      </c>
    </row>
    <row r="454" spans="1:31" x14ac:dyDescent="0.25">
      <c r="A454" t="s">
        <v>330</v>
      </c>
      <c r="B454" t="str">
        <f t="shared" si="63"/>
        <v xml:space="preserve">Regina Hawkins </v>
      </c>
      <c r="C454" t="s">
        <v>329</v>
      </c>
      <c r="D454" t="s">
        <v>328</v>
      </c>
      <c r="E454">
        <v>47</v>
      </c>
      <c r="F454" t="str">
        <f t="shared" si="64"/>
        <v>&gt;45</v>
      </c>
      <c r="G454" t="s">
        <v>29</v>
      </c>
      <c r="H454" t="s">
        <v>107</v>
      </c>
      <c r="I454" t="s">
        <v>327</v>
      </c>
      <c r="J454" t="str">
        <f t="shared" si="65"/>
        <v>rediffmail.com</v>
      </c>
      <c r="K454" t="s">
        <v>326</v>
      </c>
      <c r="L454" t="s">
        <v>363</v>
      </c>
      <c r="M454" s="2">
        <v>45380</v>
      </c>
      <c r="N454" t="s">
        <v>362</v>
      </c>
      <c r="O454" t="s">
        <v>361</v>
      </c>
      <c r="P454">
        <v>330.11</v>
      </c>
      <c r="Q454">
        <v>1</v>
      </c>
      <c r="R454" t="s">
        <v>166</v>
      </c>
      <c r="S454" s="5">
        <v>10</v>
      </c>
      <c r="T454" s="3">
        <v>4</v>
      </c>
      <c r="U454" s="4" t="str">
        <f t="shared" si="66"/>
        <v>On_time</v>
      </c>
      <c r="V454">
        <v>39</v>
      </c>
      <c r="W454" s="3">
        <f t="shared" si="67"/>
        <v>4</v>
      </c>
      <c r="X454" s="2">
        <v>45384</v>
      </c>
      <c r="Y454" s="1">
        <f>YEAR(Table2[[#This Row],[Delivery_Date]])</f>
        <v>2024</v>
      </c>
      <c r="Z454" s="2" t="str">
        <f t="shared" si="68"/>
        <v>Apr</v>
      </c>
      <c r="AA454" t="s">
        <v>360</v>
      </c>
      <c r="AB454">
        <f t="shared" si="69"/>
        <v>336.09900000000005</v>
      </c>
      <c r="AC454">
        <f>Table2[[#This Row],[Price]]*Table2[[#This Row],[Quantity]]*Table2[[#This Row],[COUPON %]]/100</f>
        <v>33.011000000000003</v>
      </c>
      <c r="AD454">
        <f t="shared" si="70"/>
        <v>297.09900000000005</v>
      </c>
      <c r="AE454" s="1">
        <f t="shared" si="71"/>
        <v>330.11</v>
      </c>
    </row>
    <row r="455" spans="1:31" x14ac:dyDescent="0.25">
      <c r="A455" t="s">
        <v>197</v>
      </c>
      <c r="B455" t="str">
        <f t="shared" si="63"/>
        <v xml:space="preserve">Janice Gordon </v>
      </c>
      <c r="C455" t="s">
        <v>196</v>
      </c>
      <c r="D455" t="s">
        <v>195</v>
      </c>
      <c r="E455">
        <v>43</v>
      </c>
      <c r="F455" t="str">
        <f t="shared" si="64"/>
        <v>36-45</v>
      </c>
      <c r="G455" t="s">
        <v>108</v>
      </c>
      <c r="H455" t="s">
        <v>7</v>
      </c>
      <c r="I455" t="s">
        <v>194</v>
      </c>
      <c r="J455" t="str">
        <f t="shared" si="65"/>
        <v>yahoo.com</v>
      </c>
      <c r="K455" t="s">
        <v>193</v>
      </c>
      <c r="L455" t="s">
        <v>359</v>
      </c>
      <c r="M455" s="2">
        <v>45571</v>
      </c>
      <c r="N455" t="s">
        <v>358</v>
      </c>
      <c r="O455" t="s">
        <v>281</v>
      </c>
      <c r="P455">
        <v>445.81</v>
      </c>
      <c r="Q455">
        <v>2</v>
      </c>
      <c r="R455" t="s">
        <v>93</v>
      </c>
      <c r="S455" s="5">
        <v>15</v>
      </c>
      <c r="T455" s="3">
        <v>4</v>
      </c>
      <c r="U455" s="4" t="str">
        <f t="shared" si="66"/>
        <v>Late_Delivery</v>
      </c>
      <c r="V455">
        <v>59</v>
      </c>
      <c r="W455" s="3">
        <f t="shared" si="67"/>
        <v>5</v>
      </c>
      <c r="X455" s="2">
        <v>45576</v>
      </c>
      <c r="Y455" s="1">
        <f>YEAR(Table2[[#This Row],[Delivery_Date]])</f>
        <v>2024</v>
      </c>
      <c r="Z455" s="2" t="str">
        <f t="shared" si="68"/>
        <v>Oct</v>
      </c>
      <c r="AA455" t="s">
        <v>357</v>
      </c>
      <c r="AB455">
        <f t="shared" si="69"/>
        <v>816.87699999999995</v>
      </c>
      <c r="AC455">
        <f>Table2[[#This Row],[Price]]*Table2[[#This Row],[Quantity]]*Table2[[#This Row],[COUPON %]]/100</f>
        <v>133.74299999999999</v>
      </c>
      <c r="AD455">
        <f t="shared" si="70"/>
        <v>757.87699999999995</v>
      </c>
      <c r="AE455" s="1">
        <f t="shared" si="71"/>
        <v>891.62</v>
      </c>
    </row>
    <row r="456" spans="1:31" x14ac:dyDescent="0.25">
      <c r="A456" t="s">
        <v>255</v>
      </c>
      <c r="B456" t="str">
        <f t="shared" si="63"/>
        <v xml:space="preserve">Lauren Crane </v>
      </c>
      <c r="C456" t="s">
        <v>254</v>
      </c>
      <c r="D456" t="s">
        <v>253</v>
      </c>
      <c r="E456">
        <v>62</v>
      </c>
      <c r="F456" t="str">
        <f t="shared" si="64"/>
        <v>&gt;45</v>
      </c>
      <c r="G456" t="s">
        <v>29</v>
      </c>
      <c r="H456" t="s">
        <v>7</v>
      </c>
      <c r="I456" t="s">
        <v>252</v>
      </c>
      <c r="J456" t="str">
        <f t="shared" si="65"/>
        <v>yahoo.com</v>
      </c>
      <c r="K456" t="s">
        <v>251</v>
      </c>
      <c r="L456" t="s">
        <v>356</v>
      </c>
      <c r="M456" s="2">
        <v>45380</v>
      </c>
      <c r="N456" t="s">
        <v>355</v>
      </c>
      <c r="O456" t="s">
        <v>94</v>
      </c>
      <c r="P456">
        <v>33.49</v>
      </c>
      <c r="Q456">
        <v>1</v>
      </c>
      <c r="R456" t="s">
        <v>1</v>
      </c>
      <c r="S456" s="5">
        <v>0</v>
      </c>
      <c r="T456" s="3">
        <v>2</v>
      </c>
      <c r="U456" s="4" t="str">
        <f t="shared" si="66"/>
        <v>Late_Delivery</v>
      </c>
      <c r="V456">
        <v>69</v>
      </c>
      <c r="W456" s="3">
        <f t="shared" si="67"/>
        <v>5</v>
      </c>
      <c r="X456" s="2">
        <v>45385</v>
      </c>
      <c r="Y456" s="1">
        <f>YEAR(Table2[[#This Row],[Delivery_Date]])</f>
        <v>2024</v>
      </c>
      <c r="Z456" s="2" t="str">
        <f t="shared" si="68"/>
        <v>Apr</v>
      </c>
      <c r="AA456" t="s">
        <v>354</v>
      </c>
      <c r="AB456">
        <f t="shared" si="69"/>
        <v>102.49000000000001</v>
      </c>
      <c r="AC456">
        <f>Table2[[#This Row],[Price]]*Table2[[#This Row],[Quantity]]*Table2[[#This Row],[COUPON %]]/100</f>
        <v>0</v>
      </c>
      <c r="AD456">
        <f t="shared" si="70"/>
        <v>33.49</v>
      </c>
      <c r="AE456" s="1">
        <f t="shared" si="71"/>
        <v>33.49</v>
      </c>
    </row>
    <row r="457" spans="1:31" x14ac:dyDescent="0.25">
      <c r="A457" t="s">
        <v>353</v>
      </c>
      <c r="B457" t="str">
        <f t="shared" si="63"/>
        <v xml:space="preserve">Timothy Hicks </v>
      </c>
      <c r="C457" t="s">
        <v>352</v>
      </c>
      <c r="D457" t="s">
        <v>41</v>
      </c>
      <c r="E457">
        <v>31</v>
      </c>
      <c r="F457" t="str">
        <f t="shared" si="64"/>
        <v>26-35</v>
      </c>
      <c r="G457" t="s">
        <v>8</v>
      </c>
      <c r="H457" t="s">
        <v>59</v>
      </c>
      <c r="I457" t="s">
        <v>351</v>
      </c>
      <c r="J457" t="str">
        <f t="shared" si="65"/>
        <v>gmail.com</v>
      </c>
      <c r="K457" t="s">
        <v>350</v>
      </c>
      <c r="L457" t="s">
        <v>349</v>
      </c>
      <c r="M457" s="2">
        <v>45525</v>
      </c>
      <c r="N457" t="s">
        <v>348</v>
      </c>
      <c r="O457" t="s">
        <v>347</v>
      </c>
      <c r="P457">
        <v>157.63999999999999</v>
      </c>
      <c r="Q457">
        <v>1</v>
      </c>
      <c r="R457" t="s">
        <v>64</v>
      </c>
      <c r="S457" s="5">
        <v>20</v>
      </c>
      <c r="T457" s="3">
        <v>7</v>
      </c>
      <c r="U457" s="4" t="str">
        <f t="shared" si="66"/>
        <v>Before_time</v>
      </c>
      <c r="V457">
        <v>46</v>
      </c>
      <c r="W457" s="3">
        <f t="shared" si="67"/>
        <v>2</v>
      </c>
      <c r="X457" s="2">
        <v>45527</v>
      </c>
      <c r="Y457" s="1">
        <f>YEAR(Table2[[#This Row],[Delivery_Date]])</f>
        <v>2024</v>
      </c>
      <c r="Z457" s="2" t="str">
        <f t="shared" si="68"/>
        <v>Aug</v>
      </c>
      <c r="AA457" t="s">
        <v>346</v>
      </c>
      <c r="AB457">
        <f t="shared" si="69"/>
        <v>172.11199999999999</v>
      </c>
      <c r="AC457">
        <f>Table2[[#This Row],[Price]]*Table2[[#This Row],[Quantity]]*Table2[[#This Row],[COUPON %]]/100</f>
        <v>31.527999999999999</v>
      </c>
      <c r="AD457">
        <f t="shared" si="70"/>
        <v>126.11199999999999</v>
      </c>
      <c r="AE457" s="1">
        <f t="shared" si="71"/>
        <v>157.63999999999999</v>
      </c>
    </row>
    <row r="458" spans="1:31" x14ac:dyDescent="0.25">
      <c r="A458" t="s">
        <v>82</v>
      </c>
      <c r="B458" t="str">
        <f t="shared" si="63"/>
        <v xml:space="preserve">Robert Castillo </v>
      </c>
      <c r="C458" t="s">
        <v>81</v>
      </c>
      <c r="D458" t="s">
        <v>80</v>
      </c>
      <c r="E458">
        <v>32</v>
      </c>
      <c r="F458" t="str">
        <f t="shared" si="64"/>
        <v>26-35</v>
      </c>
      <c r="G458" t="s">
        <v>29</v>
      </c>
      <c r="H458" t="s">
        <v>79</v>
      </c>
      <c r="I458" t="s">
        <v>78</v>
      </c>
      <c r="J458" t="str">
        <f t="shared" si="65"/>
        <v>gmail.com</v>
      </c>
      <c r="K458" t="s">
        <v>77</v>
      </c>
      <c r="L458" t="s">
        <v>345</v>
      </c>
      <c r="M458" s="2">
        <v>45257</v>
      </c>
      <c r="N458" t="s">
        <v>344</v>
      </c>
      <c r="O458" t="s">
        <v>343</v>
      </c>
      <c r="P458">
        <v>257.06</v>
      </c>
      <c r="Q458">
        <v>1</v>
      </c>
      <c r="R458" t="s">
        <v>34</v>
      </c>
      <c r="S458" s="5">
        <v>8</v>
      </c>
      <c r="T458" s="3">
        <v>3</v>
      </c>
      <c r="U458" s="4" t="str">
        <f t="shared" si="66"/>
        <v>Before_time</v>
      </c>
      <c r="V458">
        <v>47</v>
      </c>
      <c r="W458" s="3">
        <f t="shared" si="67"/>
        <v>2</v>
      </c>
      <c r="X458" s="2">
        <v>45259</v>
      </c>
      <c r="Y458" s="1">
        <f>YEAR(Table2[[#This Row],[Delivery_Date]])</f>
        <v>2023</v>
      </c>
      <c r="Z458" s="2" t="str">
        <f t="shared" si="68"/>
        <v>Nov</v>
      </c>
      <c r="AA458" t="s">
        <v>342</v>
      </c>
      <c r="AB458">
        <f t="shared" si="69"/>
        <v>283.49520000000001</v>
      </c>
      <c r="AC458">
        <f>Table2[[#This Row],[Price]]*Table2[[#This Row],[Quantity]]*Table2[[#This Row],[COUPON %]]/100</f>
        <v>20.564800000000002</v>
      </c>
      <c r="AD458">
        <f t="shared" si="70"/>
        <v>236.49520000000001</v>
      </c>
      <c r="AE458" s="1">
        <f t="shared" si="71"/>
        <v>257.06</v>
      </c>
    </row>
    <row r="459" spans="1:31" x14ac:dyDescent="0.25">
      <c r="A459" t="s">
        <v>341</v>
      </c>
      <c r="B459" t="str">
        <f t="shared" si="63"/>
        <v xml:space="preserve">Christine Aguilar </v>
      </c>
      <c r="C459" t="s">
        <v>340</v>
      </c>
      <c r="D459" t="s">
        <v>339</v>
      </c>
      <c r="E459">
        <v>46</v>
      </c>
      <c r="F459" t="str">
        <f t="shared" si="64"/>
        <v>&gt;45</v>
      </c>
      <c r="G459" t="s">
        <v>108</v>
      </c>
      <c r="H459" t="s">
        <v>107</v>
      </c>
      <c r="I459" t="s">
        <v>338</v>
      </c>
      <c r="J459" t="str">
        <f t="shared" si="65"/>
        <v>gmail.com</v>
      </c>
      <c r="K459" t="s">
        <v>337</v>
      </c>
      <c r="L459" t="s">
        <v>336</v>
      </c>
      <c r="M459" s="2">
        <v>44980</v>
      </c>
      <c r="N459" t="s">
        <v>335</v>
      </c>
      <c r="O459" t="s">
        <v>303</v>
      </c>
      <c r="P459">
        <v>431.44</v>
      </c>
      <c r="Q459">
        <v>3</v>
      </c>
      <c r="R459" t="s">
        <v>34</v>
      </c>
      <c r="S459" s="5">
        <v>8</v>
      </c>
      <c r="T459" s="3">
        <v>6</v>
      </c>
      <c r="U459" s="4" t="str">
        <f t="shared" si="66"/>
        <v>Before_time</v>
      </c>
      <c r="V459">
        <v>70</v>
      </c>
      <c r="W459" s="3">
        <f t="shared" si="67"/>
        <v>3</v>
      </c>
      <c r="X459" s="2">
        <v>44983</v>
      </c>
      <c r="Y459" s="1">
        <f>YEAR(Table2[[#This Row],[Delivery_Date]])</f>
        <v>2023</v>
      </c>
      <c r="Z459" s="2" t="str">
        <f t="shared" si="68"/>
        <v>Feb</v>
      </c>
      <c r="AA459" t="s">
        <v>334</v>
      </c>
      <c r="AB459">
        <f t="shared" si="69"/>
        <v>1260.7744</v>
      </c>
      <c r="AC459">
        <f>Table2[[#This Row],[Price]]*Table2[[#This Row],[Quantity]]*Table2[[#This Row],[COUPON %]]/100</f>
        <v>103.54559999999999</v>
      </c>
      <c r="AD459">
        <f t="shared" si="70"/>
        <v>1190.7744</v>
      </c>
      <c r="AE459" s="1">
        <f t="shared" si="71"/>
        <v>1294.32</v>
      </c>
    </row>
    <row r="460" spans="1:31" x14ac:dyDescent="0.25">
      <c r="A460" t="s">
        <v>330</v>
      </c>
      <c r="B460" t="str">
        <f t="shared" si="63"/>
        <v xml:space="preserve">Regina Hawkins </v>
      </c>
      <c r="C460" t="s">
        <v>329</v>
      </c>
      <c r="D460" t="s">
        <v>328</v>
      </c>
      <c r="E460">
        <v>47</v>
      </c>
      <c r="F460" t="str">
        <f t="shared" si="64"/>
        <v>&gt;45</v>
      </c>
      <c r="G460" t="s">
        <v>29</v>
      </c>
      <c r="H460" t="s">
        <v>107</v>
      </c>
      <c r="I460" t="s">
        <v>327</v>
      </c>
      <c r="J460" t="str">
        <f t="shared" si="65"/>
        <v>rediffmail.com</v>
      </c>
      <c r="K460" t="s">
        <v>326</v>
      </c>
      <c r="L460" t="s">
        <v>333</v>
      </c>
      <c r="M460" s="2">
        <v>45183</v>
      </c>
      <c r="N460" t="s">
        <v>332</v>
      </c>
      <c r="O460" t="s">
        <v>224</v>
      </c>
      <c r="P460">
        <v>132.97</v>
      </c>
      <c r="Q460">
        <v>1</v>
      </c>
      <c r="R460" t="s">
        <v>93</v>
      </c>
      <c r="S460" s="5">
        <v>15</v>
      </c>
      <c r="T460" s="3">
        <v>6</v>
      </c>
      <c r="U460" s="4" t="str">
        <f t="shared" si="66"/>
        <v>Late_Delivery</v>
      </c>
      <c r="V460">
        <v>37</v>
      </c>
      <c r="W460" s="3">
        <f t="shared" si="67"/>
        <v>7</v>
      </c>
      <c r="X460" s="2">
        <v>45190</v>
      </c>
      <c r="Y460" s="1">
        <f>YEAR(Table2[[#This Row],[Delivery_Date]])</f>
        <v>2023</v>
      </c>
      <c r="Z460" s="2" t="str">
        <f t="shared" si="68"/>
        <v>Sep</v>
      </c>
      <c r="AA460" t="s">
        <v>331</v>
      </c>
      <c r="AB460">
        <f t="shared" si="69"/>
        <v>150.02449999999999</v>
      </c>
      <c r="AC460">
        <f>Table2[[#This Row],[Price]]*Table2[[#This Row],[Quantity]]*Table2[[#This Row],[COUPON %]]/100</f>
        <v>19.945499999999999</v>
      </c>
      <c r="AD460">
        <f t="shared" si="70"/>
        <v>113.02449999999999</v>
      </c>
      <c r="AE460" s="1">
        <f t="shared" si="71"/>
        <v>132.97</v>
      </c>
    </row>
    <row r="461" spans="1:31" x14ac:dyDescent="0.25">
      <c r="A461" t="s">
        <v>330</v>
      </c>
      <c r="B461" t="str">
        <f t="shared" si="63"/>
        <v xml:space="preserve">Regina Hawkins </v>
      </c>
      <c r="C461" t="s">
        <v>329</v>
      </c>
      <c r="D461" t="s">
        <v>328</v>
      </c>
      <c r="E461">
        <v>47</v>
      </c>
      <c r="F461" t="str">
        <f t="shared" si="64"/>
        <v>&gt;45</v>
      </c>
      <c r="G461" t="s">
        <v>29</v>
      </c>
      <c r="H461" t="s">
        <v>107</v>
      </c>
      <c r="I461" t="s">
        <v>327</v>
      </c>
      <c r="J461" t="str">
        <f t="shared" si="65"/>
        <v>rediffmail.com</v>
      </c>
      <c r="K461" t="s">
        <v>326</v>
      </c>
      <c r="L461" t="s">
        <v>325</v>
      </c>
      <c r="M461" s="2">
        <v>45015</v>
      </c>
      <c r="N461" t="s">
        <v>324</v>
      </c>
      <c r="O461" t="s">
        <v>149</v>
      </c>
      <c r="P461">
        <v>481.48</v>
      </c>
      <c r="Q461">
        <v>2</v>
      </c>
      <c r="R461" t="s">
        <v>1</v>
      </c>
      <c r="S461" s="5">
        <v>0</v>
      </c>
      <c r="T461" s="3">
        <v>5</v>
      </c>
      <c r="U461" s="4" t="str">
        <f t="shared" si="66"/>
        <v>Before_time</v>
      </c>
      <c r="V461">
        <v>45</v>
      </c>
      <c r="W461" s="3">
        <f t="shared" si="67"/>
        <v>2</v>
      </c>
      <c r="X461" s="2">
        <v>45017</v>
      </c>
      <c r="Y461" s="1">
        <f>YEAR(Table2[[#This Row],[Delivery_Date]])</f>
        <v>2023</v>
      </c>
      <c r="Z461" s="2" t="str">
        <f t="shared" si="68"/>
        <v>Apr</v>
      </c>
      <c r="AA461" t="s">
        <v>323</v>
      </c>
      <c r="AB461">
        <f t="shared" si="69"/>
        <v>1007.96</v>
      </c>
      <c r="AC461">
        <f>Table2[[#This Row],[Price]]*Table2[[#This Row],[Quantity]]*Table2[[#This Row],[COUPON %]]/100</f>
        <v>0</v>
      </c>
      <c r="AD461">
        <f t="shared" si="70"/>
        <v>962.96</v>
      </c>
      <c r="AE461" s="1">
        <f t="shared" si="71"/>
        <v>962.96</v>
      </c>
    </row>
    <row r="462" spans="1:31" x14ac:dyDescent="0.25">
      <c r="A462" t="s">
        <v>32</v>
      </c>
      <c r="B462" t="str">
        <f t="shared" si="63"/>
        <v xml:space="preserve">Diana French </v>
      </c>
      <c r="C462" t="s">
        <v>31</v>
      </c>
      <c r="D462" t="s">
        <v>30</v>
      </c>
      <c r="E462">
        <v>54</v>
      </c>
      <c r="F462" t="str">
        <f t="shared" si="64"/>
        <v>&gt;45</v>
      </c>
      <c r="G462" t="s">
        <v>29</v>
      </c>
      <c r="H462" t="s">
        <v>28</v>
      </c>
      <c r="I462" t="s">
        <v>27</v>
      </c>
      <c r="J462" t="str">
        <f t="shared" si="65"/>
        <v>outlook.com</v>
      </c>
      <c r="K462" t="s">
        <v>26</v>
      </c>
      <c r="L462" t="s">
        <v>322</v>
      </c>
      <c r="M462" s="2">
        <v>45587</v>
      </c>
      <c r="N462" t="s">
        <v>321</v>
      </c>
      <c r="O462" t="s">
        <v>245</v>
      </c>
      <c r="P462">
        <v>87.09</v>
      </c>
      <c r="Q462">
        <v>5</v>
      </c>
      <c r="R462" t="s">
        <v>93</v>
      </c>
      <c r="S462" s="5">
        <v>15</v>
      </c>
      <c r="T462" s="3">
        <v>7</v>
      </c>
      <c r="U462" s="4" t="str">
        <f t="shared" si="66"/>
        <v>Before_time</v>
      </c>
      <c r="V462">
        <v>40</v>
      </c>
      <c r="W462" s="3">
        <f t="shared" si="67"/>
        <v>2</v>
      </c>
      <c r="X462" s="2">
        <v>45589</v>
      </c>
      <c r="Y462" s="1">
        <f>YEAR(Table2[[#This Row],[Delivery_Date]])</f>
        <v>2024</v>
      </c>
      <c r="Z462" s="2" t="str">
        <f t="shared" si="68"/>
        <v>Oct</v>
      </c>
      <c r="AA462" t="s">
        <v>320</v>
      </c>
      <c r="AB462">
        <f t="shared" si="69"/>
        <v>410.13250000000005</v>
      </c>
      <c r="AC462">
        <f>Table2[[#This Row],[Price]]*Table2[[#This Row],[Quantity]]*Table2[[#This Row],[COUPON %]]/100</f>
        <v>65.31750000000001</v>
      </c>
      <c r="AD462">
        <f t="shared" si="70"/>
        <v>370.13250000000005</v>
      </c>
      <c r="AE462" s="1">
        <f t="shared" si="71"/>
        <v>435.45000000000005</v>
      </c>
    </row>
    <row r="463" spans="1:31" x14ac:dyDescent="0.25">
      <c r="A463" t="s">
        <v>319</v>
      </c>
      <c r="B463" t="str">
        <f t="shared" si="63"/>
        <v xml:space="preserve">Edward Black </v>
      </c>
      <c r="C463" t="s">
        <v>318</v>
      </c>
      <c r="D463" t="s">
        <v>317</v>
      </c>
      <c r="E463">
        <v>42</v>
      </c>
      <c r="F463" t="str">
        <f t="shared" si="64"/>
        <v>36-45</v>
      </c>
      <c r="G463" t="s">
        <v>108</v>
      </c>
      <c r="H463" t="s">
        <v>28</v>
      </c>
      <c r="I463" t="s">
        <v>316</v>
      </c>
      <c r="J463" t="str">
        <f t="shared" si="65"/>
        <v>gmail.com</v>
      </c>
      <c r="K463" t="s">
        <v>315</v>
      </c>
      <c r="L463" t="s">
        <v>314</v>
      </c>
      <c r="M463" s="2">
        <v>45596</v>
      </c>
      <c r="N463" t="s">
        <v>313</v>
      </c>
      <c r="O463" t="s">
        <v>312</v>
      </c>
      <c r="P463">
        <v>381.73</v>
      </c>
      <c r="Q463">
        <v>5</v>
      </c>
      <c r="R463" t="s">
        <v>93</v>
      </c>
      <c r="S463" s="5">
        <v>15</v>
      </c>
      <c r="T463" s="3">
        <v>1</v>
      </c>
      <c r="U463" s="4" t="str">
        <f t="shared" si="66"/>
        <v>Late_Delivery</v>
      </c>
      <c r="V463">
        <v>53</v>
      </c>
      <c r="W463" s="3">
        <f t="shared" si="67"/>
        <v>7</v>
      </c>
      <c r="X463" s="2">
        <v>45603</v>
      </c>
      <c r="Y463" s="1">
        <f>YEAR(Table2[[#This Row],[Delivery_Date]])</f>
        <v>2024</v>
      </c>
      <c r="Z463" s="2" t="str">
        <f t="shared" si="68"/>
        <v>Nov</v>
      </c>
      <c r="AA463" t="s">
        <v>311</v>
      </c>
      <c r="AB463">
        <f t="shared" si="69"/>
        <v>1675.3525</v>
      </c>
      <c r="AC463">
        <f>Table2[[#This Row],[Price]]*Table2[[#This Row],[Quantity]]*Table2[[#This Row],[COUPON %]]/100</f>
        <v>286.29750000000001</v>
      </c>
      <c r="AD463">
        <f t="shared" si="70"/>
        <v>1622.3525</v>
      </c>
      <c r="AE463" s="1">
        <f t="shared" si="71"/>
        <v>1908.65</v>
      </c>
    </row>
    <row r="464" spans="1:31" x14ac:dyDescent="0.25">
      <c r="A464" t="s">
        <v>310</v>
      </c>
      <c r="B464" t="str">
        <f t="shared" si="63"/>
        <v xml:space="preserve">Jared Horn </v>
      </c>
      <c r="C464" t="s">
        <v>309</v>
      </c>
      <c r="D464" t="s">
        <v>308</v>
      </c>
      <c r="E464">
        <v>43</v>
      </c>
      <c r="F464" t="str">
        <f t="shared" si="64"/>
        <v>36-45</v>
      </c>
      <c r="G464" t="s">
        <v>108</v>
      </c>
      <c r="H464" t="s">
        <v>59</v>
      </c>
      <c r="I464" t="s">
        <v>307</v>
      </c>
      <c r="J464" t="str">
        <f t="shared" si="65"/>
        <v>outlook.com</v>
      </c>
      <c r="K464" t="s">
        <v>306</v>
      </c>
      <c r="L464" t="s">
        <v>305</v>
      </c>
      <c r="M464" s="2">
        <v>45087</v>
      </c>
      <c r="N464" t="s">
        <v>304</v>
      </c>
      <c r="O464" t="s">
        <v>303</v>
      </c>
      <c r="P464">
        <v>431.44</v>
      </c>
      <c r="Q464">
        <v>3</v>
      </c>
      <c r="R464" t="s">
        <v>93</v>
      </c>
      <c r="S464" s="5">
        <v>15</v>
      </c>
      <c r="T464" s="3">
        <v>4</v>
      </c>
      <c r="U464" s="4" t="str">
        <f t="shared" si="66"/>
        <v>Late_Delivery</v>
      </c>
      <c r="V464">
        <v>58</v>
      </c>
      <c r="W464" s="3">
        <f t="shared" si="67"/>
        <v>5</v>
      </c>
      <c r="X464" s="2">
        <v>45092</v>
      </c>
      <c r="Y464" s="1">
        <f>YEAR(Table2[[#This Row],[Delivery_Date]])</f>
        <v>2023</v>
      </c>
      <c r="Z464" s="2" t="str">
        <f t="shared" si="68"/>
        <v>Jun</v>
      </c>
      <c r="AA464" t="s">
        <v>302</v>
      </c>
      <c r="AB464">
        <f t="shared" si="69"/>
        <v>1158.172</v>
      </c>
      <c r="AC464">
        <f>Table2[[#This Row],[Price]]*Table2[[#This Row],[Quantity]]*Table2[[#This Row],[COUPON %]]/100</f>
        <v>194.148</v>
      </c>
      <c r="AD464">
        <f t="shared" si="70"/>
        <v>1100.172</v>
      </c>
      <c r="AE464" s="1">
        <f t="shared" si="71"/>
        <v>1294.32</v>
      </c>
    </row>
    <row r="465" spans="1:31" x14ac:dyDescent="0.25">
      <c r="A465" t="s">
        <v>255</v>
      </c>
      <c r="B465" t="str">
        <f t="shared" si="63"/>
        <v xml:space="preserve">Lauren Crane </v>
      </c>
      <c r="C465" t="s">
        <v>254</v>
      </c>
      <c r="D465" t="s">
        <v>253</v>
      </c>
      <c r="E465">
        <v>62</v>
      </c>
      <c r="F465" t="str">
        <f t="shared" si="64"/>
        <v>&gt;45</v>
      </c>
      <c r="G465" t="s">
        <v>29</v>
      </c>
      <c r="H465" t="s">
        <v>7</v>
      </c>
      <c r="I465" t="s">
        <v>252</v>
      </c>
      <c r="J465" t="str">
        <f t="shared" si="65"/>
        <v>yahoo.com</v>
      </c>
      <c r="K465" t="s">
        <v>251</v>
      </c>
      <c r="L465" t="s">
        <v>301</v>
      </c>
      <c r="M465" s="2">
        <v>45393</v>
      </c>
      <c r="N465" t="s">
        <v>300</v>
      </c>
      <c r="O465" t="s">
        <v>299</v>
      </c>
      <c r="P465">
        <v>235.63</v>
      </c>
      <c r="Q465">
        <v>3</v>
      </c>
      <c r="R465" t="s">
        <v>1</v>
      </c>
      <c r="S465" s="5">
        <v>0</v>
      </c>
      <c r="T465" s="3">
        <v>6</v>
      </c>
      <c r="U465" s="4" t="str">
        <f t="shared" si="66"/>
        <v>Before_time</v>
      </c>
      <c r="V465">
        <v>41</v>
      </c>
      <c r="W465" s="3">
        <f t="shared" si="67"/>
        <v>5</v>
      </c>
      <c r="X465" s="2">
        <v>45398</v>
      </c>
      <c r="Y465" s="1">
        <f>YEAR(Table2[[#This Row],[Delivery_Date]])</f>
        <v>2024</v>
      </c>
      <c r="Z465" s="2" t="str">
        <f t="shared" si="68"/>
        <v>Apr</v>
      </c>
      <c r="AA465" t="s">
        <v>298</v>
      </c>
      <c r="AB465">
        <f t="shared" si="69"/>
        <v>747.89</v>
      </c>
      <c r="AC465">
        <f>Table2[[#This Row],[Price]]*Table2[[#This Row],[Quantity]]*Table2[[#This Row],[COUPON %]]/100</f>
        <v>0</v>
      </c>
      <c r="AD465">
        <f t="shared" si="70"/>
        <v>706.89</v>
      </c>
      <c r="AE465" s="1">
        <f t="shared" si="71"/>
        <v>706.89</v>
      </c>
    </row>
    <row r="466" spans="1:31" x14ac:dyDescent="0.25">
      <c r="A466" t="s">
        <v>297</v>
      </c>
      <c r="B466" t="str">
        <f t="shared" si="63"/>
        <v xml:space="preserve">Erin Miller </v>
      </c>
      <c r="C466" t="s">
        <v>296</v>
      </c>
      <c r="D466" t="s">
        <v>295</v>
      </c>
      <c r="E466">
        <v>46</v>
      </c>
      <c r="F466" t="str">
        <f t="shared" si="64"/>
        <v>&gt;45</v>
      </c>
      <c r="G466" t="s">
        <v>108</v>
      </c>
      <c r="H466" t="s">
        <v>79</v>
      </c>
      <c r="I466" t="s">
        <v>294</v>
      </c>
      <c r="J466" t="str">
        <f t="shared" si="65"/>
        <v>gmail.com</v>
      </c>
      <c r="K466" t="s">
        <v>293</v>
      </c>
      <c r="L466" t="s">
        <v>292</v>
      </c>
      <c r="M466" s="2">
        <v>45525</v>
      </c>
      <c r="N466" t="s">
        <v>291</v>
      </c>
      <c r="O466" t="s">
        <v>290</v>
      </c>
      <c r="P466">
        <v>372.62</v>
      </c>
      <c r="Q466">
        <v>4</v>
      </c>
      <c r="R466" t="s">
        <v>34</v>
      </c>
      <c r="S466" s="5">
        <v>8</v>
      </c>
      <c r="T466" s="3">
        <v>3</v>
      </c>
      <c r="U466" s="4" t="str">
        <f t="shared" si="66"/>
        <v>Late_Delivery</v>
      </c>
      <c r="V466">
        <v>48</v>
      </c>
      <c r="W466" s="3">
        <f t="shared" si="67"/>
        <v>5</v>
      </c>
      <c r="X466" s="2">
        <v>45530</v>
      </c>
      <c r="Y466" s="1">
        <f>YEAR(Table2[[#This Row],[Delivery_Date]])</f>
        <v>2024</v>
      </c>
      <c r="Z466" s="2" t="str">
        <f t="shared" si="68"/>
        <v>Aug</v>
      </c>
      <c r="AA466" t="s">
        <v>289</v>
      </c>
      <c r="AB466">
        <f t="shared" si="69"/>
        <v>1419.2416000000001</v>
      </c>
      <c r="AC466">
        <f>Table2[[#This Row],[Price]]*Table2[[#This Row],[Quantity]]*Table2[[#This Row],[COUPON %]]/100</f>
        <v>119.2384</v>
      </c>
      <c r="AD466">
        <f t="shared" si="70"/>
        <v>1371.2416000000001</v>
      </c>
      <c r="AE466" s="1">
        <f t="shared" si="71"/>
        <v>1490.48</v>
      </c>
    </row>
    <row r="467" spans="1:31" x14ac:dyDescent="0.25">
      <c r="A467" t="s">
        <v>288</v>
      </c>
      <c r="B467" t="str">
        <f t="shared" si="63"/>
        <v xml:space="preserve">Jenny Estrada </v>
      </c>
      <c r="C467" t="s">
        <v>287</v>
      </c>
      <c r="D467" t="s">
        <v>286</v>
      </c>
      <c r="E467">
        <v>45</v>
      </c>
      <c r="F467" t="str">
        <f t="shared" si="64"/>
        <v>36-45</v>
      </c>
      <c r="G467" t="s">
        <v>108</v>
      </c>
      <c r="H467" t="s">
        <v>7</v>
      </c>
      <c r="I467" t="s">
        <v>285</v>
      </c>
      <c r="J467" t="str">
        <f t="shared" si="65"/>
        <v>yahoo.com</v>
      </c>
      <c r="K467" t="s">
        <v>284</v>
      </c>
      <c r="L467" t="s">
        <v>283</v>
      </c>
      <c r="M467" s="2">
        <v>45103</v>
      </c>
      <c r="N467" t="s">
        <v>282</v>
      </c>
      <c r="O467" t="s">
        <v>281</v>
      </c>
      <c r="P467">
        <v>445.81</v>
      </c>
      <c r="Q467">
        <v>3</v>
      </c>
      <c r="R467" t="s">
        <v>64</v>
      </c>
      <c r="S467" s="5">
        <v>20</v>
      </c>
      <c r="T467" s="3">
        <v>1</v>
      </c>
      <c r="U467" s="4" t="str">
        <f t="shared" si="66"/>
        <v>Late_Delivery</v>
      </c>
      <c r="V467">
        <v>58</v>
      </c>
      <c r="W467" s="3">
        <f t="shared" si="67"/>
        <v>6</v>
      </c>
      <c r="X467" s="2">
        <v>45109</v>
      </c>
      <c r="Y467" s="1">
        <f>YEAR(Table2[[#This Row],[Delivery_Date]])</f>
        <v>2023</v>
      </c>
      <c r="Z467" s="2" t="str">
        <f t="shared" si="68"/>
        <v>Jul</v>
      </c>
      <c r="AA467" t="s">
        <v>280</v>
      </c>
      <c r="AB467">
        <f t="shared" si="69"/>
        <v>1127.9440000000002</v>
      </c>
      <c r="AC467">
        <f>Table2[[#This Row],[Price]]*Table2[[#This Row],[Quantity]]*Table2[[#This Row],[COUPON %]]/100</f>
        <v>267.48600000000005</v>
      </c>
      <c r="AD467">
        <f t="shared" si="70"/>
        <v>1069.9440000000002</v>
      </c>
      <c r="AE467" s="1">
        <f t="shared" si="71"/>
        <v>1337.43</v>
      </c>
    </row>
    <row r="468" spans="1:31" x14ac:dyDescent="0.25">
      <c r="A468" t="s">
        <v>279</v>
      </c>
      <c r="B468" t="str">
        <f t="shared" si="63"/>
        <v xml:space="preserve">Amy Ellis </v>
      </c>
      <c r="C468" t="s">
        <v>270</v>
      </c>
      <c r="D468" t="s">
        <v>278</v>
      </c>
      <c r="E468">
        <v>44</v>
      </c>
      <c r="F468" t="str">
        <f t="shared" si="64"/>
        <v>36-45</v>
      </c>
      <c r="G468" t="s">
        <v>8</v>
      </c>
      <c r="H468" t="s">
        <v>118</v>
      </c>
      <c r="I468" t="s">
        <v>277</v>
      </c>
      <c r="J468" t="str">
        <f t="shared" si="65"/>
        <v>gmail.com</v>
      </c>
      <c r="K468" t="s">
        <v>276</v>
      </c>
      <c r="L468" t="s">
        <v>275</v>
      </c>
      <c r="M468" s="2">
        <v>45410</v>
      </c>
      <c r="N468" t="s">
        <v>274</v>
      </c>
      <c r="O468" t="s">
        <v>273</v>
      </c>
      <c r="P468">
        <v>403.03</v>
      </c>
      <c r="Q468">
        <v>2</v>
      </c>
      <c r="R468" t="s">
        <v>93</v>
      </c>
      <c r="S468" s="5">
        <v>15</v>
      </c>
      <c r="T468" s="3">
        <v>7</v>
      </c>
      <c r="U468" s="4" t="str">
        <f t="shared" si="66"/>
        <v>On_time</v>
      </c>
      <c r="V468">
        <v>39</v>
      </c>
      <c r="W468" s="3">
        <f t="shared" si="67"/>
        <v>7</v>
      </c>
      <c r="X468" s="2">
        <v>45417</v>
      </c>
      <c r="Y468" s="1">
        <f>YEAR(Table2[[#This Row],[Delivery_Date]])</f>
        <v>2024</v>
      </c>
      <c r="Z468" s="2" t="str">
        <f t="shared" si="68"/>
        <v>May</v>
      </c>
      <c r="AA468" t="s">
        <v>272</v>
      </c>
      <c r="AB468">
        <f t="shared" si="69"/>
        <v>724.15099999999995</v>
      </c>
      <c r="AC468">
        <f>Table2[[#This Row],[Price]]*Table2[[#This Row],[Quantity]]*Table2[[#This Row],[COUPON %]]/100</f>
        <v>120.90899999999999</v>
      </c>
      <c r="AD468">
        <f t="shared" si="70"/>
        <v>685.15099999999995</v>
      </c>
      <c r="AE468" s="1">
        <f t="shared" si="71"/>
        <v>806.06</v>
      </c>
    </row>
    <row r="469" spans="1:31" x14ac:dyDescent="0.25">
      <c r="A469" t="s">
        <v>271</v>
      </c>
      <c r="B469" t="str">
        <f t="shared" si="63"/>
        <v xml:space="preserve">Amy Griffin </v>
      </c>
      <c r="C469" t="s">
        <v>270</v>
      </c>
      <c r="D469" t="s">
        <v>269</v>
      </c>
      <c r="E469">
        <v>29</v>
      </c>
      <c r="F469" t="str">
        <f t="shared" si="64"/>
        <v>26-35</v>
      </c>
      <c r="G469" t="s">
        <v>108</v>
      </c>
      <c r="H469" t="s">
        <v>7</v>
      </c>
      <c r="I469" t="s">
        <v>268</v>
      </c>
      <c r="J469" t="str">
        <f t="shared" si="65"/>
        <v>rediffmail.com</v>
      </c>
      <c r="K469" t="s">
        <v>267</v>
      </c>
      <c r="L469" t="s">
        <v>266</v>
      </c>
      <c r="M469" s="2">
        <v>45423</v>
      </c>
      <c r="N469" t="s">
        <v>265</v>
      </c>
      <c r="O469" t="s">
        <v>264</v>
      </c>
      <c r="P469">
        <v>496.59</v>
      </c>
      <c r="Q469">
        <v>5</v>
      </c>
      <c r="R469" t="s">
        <v>34</v>
      </c>
      <c r="S469" s="5">
        <v>8</v>
      </c>
      <c r="T469" s="3">
        <v>3</v>
      </c>
      <c r="U469" s="4" t="str">
        <f t="shared" si="66"/>
        <v>Before_time</v>
      </c>
      <c r="V469">
        <v>61</v>
      </c>
      <c r="W469" s="3">
        <f t="shared" si="67"/>
        <v>2</v>
      </c>
      <c r="X469" s="2">
        <v>45425</v>
      </c>
      <c r="Y469" s="1">
        <f>YEAR(Table2[[#This Row],[Delivery_Date]])</f>
        <v>2024</v>
      </c>
      <c r="Z469" s="2" t="str">
        <f t="shared" si="68"/>
        <v>May</v>
      </c>
      <c r="AA469" t="s">
        <v>263</v>
      </c>
      <c r="AB469">
        <f t="shared" si="69"/>
        <v>2345.3139999999999</v>
      </c>
      <c r="AC469">
        <f>Table2[[#This Row],[Price]]*Table2[[#This Row],[Quantity]]*Table2[[#This Row],[COUPON %]]/100</f>
        <v>198.636</v>
      </c>
      <c r="AD469">
        <f t="shared" si="70"/>
        <v>2284.3139999999999</v>
      </c>
      <c r="AE469" s="1">
        <f t="shared" si="71"/>
        <v>2482.9499999999998</v>
      </c>
    </row>
    <row r="470" spans="1:31" x14ac:dyDescent="0.25">
      <c r="A470" t="s">
        <v>262</v>
      </c>
      <c r="B470" t="str">
        <f t="shared" si="63"/>
        <v xml:space="preserve">Angela Horne </v>
      </c>
      <c r="C470" t="s">
        <v>10</v>
      </c>
      <c r="D470" t="s">
        <v>261</v>
      </c>
      <c r="E470">
        <v>49</v>
      </c>
      <c r="F470" t="str">
        <f t="shared" si="64"/>
        <v>&gt;45</v>
      </c>
      <c r="G470" t="s">
        <v>8</v>
      </c>
      <c r="H470" t="s">
        <v>107</v>
      </c>
      <c r="I470" t="s">
        <v>260</v>
      </c>
      <c r="J470" t="str">
        <f t="shared" si="65"/>
        <v>outlook.com</v>
      </c>
      <c r="K470" t="s">
        <v>259</v>
      </c>
      <c r="L470" t="s">
        <v>258</v>
      </c>
      <c r="M470" s="2">
        <v>45377</v>
      </c>
      <c r="N470" t="s">
        <v>257</v>
      </c>
      <c r="O470" t="s">
        <v>2</v>
      </c>
      <c r="P470">
        <v>44.5</v>
      </c>
      <c r="Q470">
        <v>3</v>
      </c>
      <c r="R470" t="s">
        <v>64</v>
      </c>
      <c r="S470" s="5">
        <v>20</v>
      </c>
      <c r="T470" s="3">
        <v>7</v>
      </c>
      <c r="U470" s="4" t="str">
        <f t="shared" si="66"/>
        <v>Before_time</v>
      </c>
      <c r="V470">
        <v>40</v>
      </c>
      <c r="W470" s="3">
        <f t="shared" si="67"/>
        <v>5</v>
      </c>
      <c r="X470" s="2">
        <v>45382</v>
      </c>
      <c r="Y470" s="1">
        <f>YEAR(Table2[[#This Row],[Delivery_Date]])</f>
        <v>2024</v>
      </c>
      <c r="Z470" s="2" t="str">
        <f t="shared" si="68"/>
        <v>Mar</v>
      </c>
      <c r="AA470" t="s">
        <v>256</v>
      </c>
      <c r="AB470">
        <f t="shared" si="69"/>
        <v>146.80000000000001</v>
      </c>
      <c r="AC470">
        <f>Table2[[#This Row],[Price]]*Table2[[#This Row],[Quantity]]*Table2[[#This Row],[COUPON %]]/100</f>
        <v>26.7</v>
      </c>
      <c r="AD470">
        <f t="shared" si="70"/>
        <v>106.80000000000001</v>
      </c>
      <c r="AE470" s="1">
        <f t="shared" si="71"/>
        <v>133.5</v>
      </c>
    </row>
    <row r="471" spans="1:31" x14ac:dyDescent="0.25">
      <c r="A471" t="s">
        <v>255</v>
      </c>
      <c r="B471" t="str">
        <f t="shared" si="63"/>
        <v xml:space="preserve">Lauren Crane </v>
      </c>
      <c r="C471" t="s">
        <v>254</v>
      </c>
      <c r="D471" t="s">
        <v>253</v>
      </c>
      <c r="E471">
        <v>62</v>
      </c>
      <c r="F471" t="str">
        <f t="shared" si="64"/>
        <v>&gt;45</v>
      </c>
      <c r="G471" t="s">
        <v>29</v>
      </c>
      <c r="H471" t="s">
        <v>7</v>
      </c>
      <c r="I471" t="s">
        <v>252</v>
      </c>
      <c r="J471" t="str">
        <f t="shared" si="65"/>
        <v>yahoo.com</v>
      </c>
      <c r="K471" t="s">
        <v>251</v>
      </c>
      <c r="L471" t="s">
        <v>250</v>
      </c>
      <c r="M471" s="2">
        <v>45451</v>
      </c>
      <c r="N471" t="s">
        <v>249</v>
      </c>
      <c r="O471" t="s">
        <v>84</v>
      </c>
      <c r="P471">
        <v>62.42</v>
      </c>
      <c r="Q471">
        <v>5</v>
      </c>
      <c r="R471" t="s">
        <v>1</v>
      </c>
      <c r="S471" s="5">
        <v>0</v>
      </c>
      <c r="T471" s="3">
        <v>2</v>
      </c>
      <c r="U471" s="4" t="str">
        <f t="shared" si="66"/>
        <v>On_time</v>
      </c>
      <c r="V471">
        <v>47</v>
      </c>
      <c r="W471" s="3">
        <f t="shared" si="67"/>
        <v>2</v>
      </c>
      <c r="X471" s="2">
        <v>45453</v>
      </c>
      <c r="Y471" s="1">
        <f>YEAR(Table2[[#This Row],[Delivery_Date]])</f>
        <v>2024</v>
      </c>
      <c r="Z471" s="2" t="str">
        <f t="shared" si="68"/>
        <v>Jun</v>
      </c>
      <c r="AA471" t="s">
        <v>248</v>
      </c>
      <c r="AB471">
        <f t="shared" si="69"/>
        <v>359.1</v>
      </c>
      <c r="AC471">
        <f>Table2[[#This Row],[Price]]*Table2[[#This Row],[Quantity]]*Table2[[#This Row],[COUPON %]]/100</f>
        <v>0</v>
      </c>
      <c r="AD471">
        <f t="shared" si="70"/>
        <v>312.10000000000002</v>
      </c>
      <c r="AE471" s="1">
        <f t="shared" si="71"/>
        <v>312.10000000000002</v>
      </c>
    </row>
    <row r="472" spans="1:31" x14ac:dyDescent="0.25">
      <c r="A472" t="s">
        <v>101</v>
      </c>
      <c r="B472" t="str">
        <f t="shared" si="63"/>
        <v xml:space="preserve">Gregory Lee </v>
      </c>
      <c r="C472" t="s">
        <v>100</v>
      </c>
      <c r="D472" t="s">
        <v>99</v>
      </c>
      <c r="E472">
        <v>26</v>
      </c>
      <c r="F472" t="str">
        <f t="shared" si="64"/>
        <v>26-35</v>
      </c>
      <c r="G472" t="s">
        <v>8</v>
      </c>
      <c r="H472" t="s">
        <v>28</v>
      </c>
      <c r="I472" t="s">
        <v>98</v>
      </c>
      <c r="J472" t="str">
        <f t="shared" si="65"/>
        <v>rediffmail.com</v>
      </c>
      <c r="K472" t="s">
        <v>97</v>
      </c>
      <c r="L472" t="s">
        <v>247</v>
      </c>
      <c r="M472" s="2">
        <v>45362</v>
      </c>
      <c r="N472" t="s">
        <v>246</v>
      </c>
      <c r="O472" t="s">
        <v>245</v>
      </c>
      <c r="P472">
        <v>87.09</v>
      </c>
      <c r="Q472">
        <v>4</v>
      </c>
      <c r="R472" t="s">
        <v>166</v>
      </c>
      <c r="S472" s="5">
        <v>10</v>
      </c>
      <c r="T472" s="3">
        <v>5</v>
      </c>
      <c r="U472" s="4" t="str">
        <f t="shared" si="66"/>
        <v>Late_Delivery</v>
      </c>
      <c r="V472">
        <v>45</v>
      </c>
      <c r="W472" s="3">
        <f t="shared" si="67"/>
        <v>6</v>
      </c>
      <c r="X472" s="2">
        <v>45368</v>
      </c>
      <c r="Y472" s="1">
        <f>YEAR(Table2[[#This Row],[Delivery_Date]])</f>
        <v>2024</v>
      </c>
      <c r="Z472" s="2" t="str">
        <f t="shared" si="68"/>
        <v>Mar</v>
      </c>
      <c r="AA472" t="s">
        <v>244</v>
      </c>
      <c r="AB472">
        <f t="shared" si="69"/>
        <v>358.524</v>
      </c>
      <c r="AC472">
        <f>Table2[[#This Row],[Price]]*Table2[[#This Row],[Quantity]]*Table2[[#This Row],[COUPON %]]/100</f>
        <v>34.836000000000006</v>
      </c>
      <c r="AD472">
        <f t="shared" si="70"/>
        <v>313.524</v>
      </c>
      <c r="AE472" s="1">
        <f t="shared" si="71"/>
        <v>348.36</v>
      </c>
    </row>
    <row r="473" spans="1:31" x14ac:dyDescent="0.25">
      <c r="A473" t="s">
        <v>243</v>
      </c>
      <c r="B473" t="str">
        <f t="shared" si="63"/>
        <v xml:space="preserve">Heather Schneider </v>
      </c>
      <c r="C473" t="s">
        <v>242</v>
      </c>
      <c r="D473" t="s">
        <v>241</v>
      </c>
      <c r="E473">
        <v>48</v>
      </c>
      <c r="F473" t="str">
        <f t="shared" si="64"/>
        <v>&gt;45</v>
      </c>
      <c r="G473" t="s">
        <v>29</v>
      </c>
      <c r="H473" t="s">
        <v>118</v>
      </c>
      <c r="I473" t="s">
        <v>240</v>
      </c>
      <c r="J473" t="str">
        <f t="shared" si="65"/>
        <v>outlook.com</v>
      </c>
      <c r="K473" t="s">
        <v>239</v>
      </c>
      <c r="L473" t="s">
        <v>238</v>
      </c>
      <c r="M473" s="2">
        <v>45283</v>
      </c>
      <c r="N473" t="s">
        <v>237</v>
      </c>
      <c r="O473" t="s">
        <v>233</v>
      </c>
      <c r="P473">
        <v>77.84</v>
      </c>
      <c r="Q473">
        <v>4</v>
      </c>
      <c r="R473" t="s">
        <v>64</v>
      </c>
      <c r="S473" s="5">
        <v>20</v>
      </c>
      <c r="T473" s="3">
        <v>5</v>
      </c>
      <c r="U473" s="4" t="str">
        <f t="shared" si="66"/>
        <v>Before_time</v>
      </c>
      <c r="V473">
        <v>55</v>
      </c>
      <c r="W473" s="3">
        <f t="shared" si="67"/>
        <v>3</v>
      </c>
      <c r="X473" s="2">
        <v>45286</v>
      </c>
      <c r="Y473" s="1">
        <f>YEAR(Table2[[#This Row],[Delivery_Date]])</f>
        <v>2023</v>
      </c>
      <c r="Z473" s="2" t="str">
        <f t="shared" si="68"/>
        <v>Dec</v>
      </c>
      <c r="AA473" t="s">
        <v>236</v>
      </c>
      <c r="AB473">
        <f t="shared" si="69"/>
        <v>304.08800000000002</v>
      </c>
      <c r="AC473">
        <f>Table2[[#This Row],[Price]]*Table2[[#This Row],[Quantity]]*Table2[[#This Row],[COUPON %]]/100</f>
        <v>62.272000000000006</v>
      </c>
      <c r="AD473">
        <f t="shared" si="70"/>
        <v>249.08800000000002</v>
      </c>
      <c r="AE473" s="1">
        <f t="shared" si="71"/>
        <v>311.36</v>
      </c>
    </row>
    <row r="474" spans="1:31" x14ac:dyDescent="0.25">
      <c r="A474" t="s">
        <v>197</v>
      </c>
      <c r="B474" t="str">
        <f t="shared" si="63"/>
        <v xml:space="preserve">Janice Gordon </v>
      </c>
      <c r="C474" t="s">
        <v>196</v>
      </c>
      <c r="D474" t="s">
        <v>195</v>
      </c>
      <c r="E474">
        <v>43</v>
      </c>
      <c r="F474" t="str">
        <f t="shared" si="64"/>
        <v>36-45</v>
      </c>
      <c r="G474" t="s">
        <v>108</v>
      </c>
      <c r="H474" t="s">
        <v>7</v>
      </c>
      <c r="I474" t="s">
        <v>194</v>
      </c>
      <c r="J474" t="str">
        <f t="shared" si="65"/>
        <v>yahoo.com</v>
      </c>
      <c r="K474" t="s">
        <v>193</v>
      </c>
      <c r="L474" t="s">
        <v>235</v>
      </c>
      <c r="M474" s="2">
        <v>45012</v>
      </c>
      <c r="N474" t="s">
        <v>234</v>
      </c>
      <c r="O474" t="s">
        <v>233</v>
      </c>
      <c r="P474">
        <v>77.84</v>
      </c>
      <c r="Q474">
        <v>5</v>
      </c>
      <c r="R474" t="s">
        <v>166</v>
      </c>
      <c r="S474" s="5">
        <v>10</v>
      </c>
      <c r="T474" s="3">
        <v>2</v>
      </c>
      <c r="U474" s="4" t="str">
        <f t="shared" si="66"/>
        <v>Late_Delivery</v>
      </c>
      <c r="V474">
        <v>53</v>
      </c>
      <c r="W474" s="3">
        <f t="shared" si="67"/>
        <v>5</v>
      </c>
      <c r="X474" s="2">
        <v>45017</v>
      </c>
      <c r="Y474" s="1">
        <f>YEAR(Table2[[#This Row],[Delivery_Date]])</f>
        <v>2023</v>
      </c>
      <c r="Z474" s="2" t="str">
        <f t="shared" si="68"/>
        <v>Apr</v>
      </c>
      <c r="AA474" t="s">
        <v>232</v>
      </c>
      <c r="AB474">
        <f t="shared" si="69"/>
        <v>403.28000000000003</v>
      </c>
      <c r="AC474">
        <f>Table2[[#This Row],[Price]]*Table2[[#This Row],[Quantity]]*Table2[[#This Row],[COUPON %]]/100</f>
        <v>38.92</v>
      </c>
      <c r="AD474">
        <f t="shared" si="70"/>
        <v>350.28000000000003</v>
      </c>
      <c r="AE474" s="1">
        <f t="shared" si="71"/>
        <v>389.20000000000005</v>
      </c>
    </row>
    <row r="475" spans="1:31" x14ac:dyDescent="0.25">
      <c r="A475" t="s">
        <v>231</v>
      </c>
      <c r="B475" t="str">
        <f t="shared" si="63"/>
        <v xml:space="preserve">Debra Hayes </v>
      </c>
      <c r="C475" t="s">
        <v>230</v>
      </c>
      <c r="D475" t="s">
        <v>229</v>
      </c>
      <c r="E475">
        <v>33</v>
      </c>
      <c r="F475" t="str">
        <f t="shared" si="64"/>
        <v>26-35</v>
      </c>
      <c r="G475" t="s">
        <v>108</v>
      </c>
      <c r="H475" t="s">
        <v>79</v>
      </c>
      <c r="I475" t="s">
        <v>228</v>
      </c>
      <c r="J475" t="str">
        <f t="shared" si="65"/>
        <v>yahoo.com</v>
      </c>
      <c r="K475" t="s">
        <v>227</v>
      </c>
      <c r="L475" t="s">
        <v>226</v>
      </c>
      <c r="M475" s="2">
        <v>45528</v>
      </c>
      <c r="N475" t="s">
        <v>225</v>
      </c>
      <c r="O475" t="s">
        <v>224</v>
      </c>
      <c r="P475">
        <v>132.97</v>
      </c>
      <c r="Q475">
        <v>4</v>
      </c>
      <c r="R475" t="s">
        <v>1</v>
      </c>
      <c r="S475" s="5">
        <v>0</v>
      </c>
      <c r="T475" s="3">
        <v>6</v>
      </c>
      <c r="U475" s="4" t="str">
        <f t="shared" si="66"/>
        <v>Late_Delivery</v>
      </c>
      <c r="V475">
        <v>63</v>
      </c>
      <c r="W475" s="3">
        <f t="shared" si="67"/>
        <v>7</v>
      </c>
      <c r="X475" s="2">
        <v>45535</v>
      </c>
      <c r="Y475" s="1">
        <f>YEAR(Table2[[#This Row],[Delivery_Date]])</f>
        <v>2024</v>
      </c>
      <c r="Z475" s="2" t="str">
        <f t="shared" si="68"/>
        <v>Aug</v>
      </c>
      <c r="AA475" t="s">
        <v>223</v>
      </c>
      <c r="AB475">
        <f t="shared" si="69"/>
        <v>594.88</v>
      </c>
      <c r="AC475">
        <f>Table2[[#This Row],[Price]]*Table2[[#This Row],[Quantity]]*Table2[[#This Row],[COUPON %]]/100</f>
        <v>0</v>
      </c>
      <c r="AD475">
        <f t="shared" si="70"/>
        <v>531.88</v>
      </c>
      <c r="AE475" s="1">
        <f t="shared" si="71"/>
        <v>531.88</v>
      </c>
    </row>
    <row r="476" spans="1:31" x14ac:dyDescent="0.25">
      <c r="A476" t="s">
        <v>11</v>
      </c>
      <c r="B476" t="str">
        <f t="shared" si="63"/>
        <v xml:space="preserve">Angela Evans </v>
      </c>
      <c r="C476" t="s">
        <v>10</v>
      </c>
      <c r="D476" t="s">
        <v>9</v>
      </c>
      <c r="E476">
        <v>52</v>
      </c>
      <c r="F476" t="str">
        <f t="shared" si="64"/>
        <v>&gt;45</v>
      </c>
      <c r="G476" t="s">
        <v>8</v>
      </c>
      <c r="H476" t="s">
        <v>7</v>
      </c>
      <c r="I476" t="s">
        <v>6</v>
      </c>
      <c r="J476" t="str">
        <f t="shared" si="65"/>
        <v>outlook.com</v>
      </c>
      <c r="K476" t="s">
        <v>5</v>
      </c>
      <c r="L476" t="s">
        <v>222</v>
      </c>
      <c r="M476" s="2">
        <v>45354</v>
      </c>
      <c r="N476" t="s">
        <v>221</v>
      </c>
      <c r="O476" t="s">
        <v>220</v>
      </c>
      <c r="P476">
        <v>461.07</v>
      </c>
      <c r="Q476">
        <v>3</v>
      </c>
      <c r="R476" t="s">
        <v>93</v>
      </c>
      <c r="S476" s="5">
        <v>15</v>
      </c>
      <c r="T476" s="3">
        <v>4</v>
      </c>
      <c r="U476" s="4" t="str">
        <f t="shared" si="66"/>
        <v>Before_time</v>
      </c>
      <c r="V476">
        <v>54</v>
      </c>
      <c r="W476" s="3">
        <f t="shared" si="67"/>
        <v>3</v>
      </c>
      <c r="X476" s="2">
        <v>45357</v>
      </c>
      <c r="Y476" s="1">
        <f>YEAR(Table2[[#This Row],[Delivery_Date]])</f>
        <v>2024</v>
      </c>
      <c r="Z476" s="2" t="str">
        <f t="shared" si="68"/>
        <v>Mar</v>
      </c>
      <c r="AA476" t="s">
        <v>219</v>
      </c>
      <c r="AB476">
        <f t="shared" si="69"/>
        <v>1229.7284999999999</v>
      </c>
      <c r="AC476">
        <f>Table2[[#This Row],[Price]]*Table2[[#This Row],[Quantity]]*Table2[[#This Row],[COUPON %]]/100</f>
        <v>207.48150000000001</v>
      </c>
      <c r="AD476">
        <f t="shared" si="70"/>
        <v>1175.7284999999999</v>
      </c>
      <c r="AE476" s="1">
        <f t="shared" si="71"/>
        <v>1383.21</v>
      </c>
    </row>
    <row r="477" spans="1:31" x14ac:dyDescent="0.25">
      <c r="A477" t="s">
        <v>218</v>
      </c>
      <c r="B477" t="str">
        <f t="shared" si="63"/>
        <v xml:space="preserve">Beth Mason </v>
      </c>
      <c r="C477" t="s">
        <v>217</v>
      </c>
      <c r="D477" t="s">
        <v>216</v>
      </c>
      <c r="E477">
        <v>45</v>
      </c>
      <c r="F477" t="str">
        <f t="shared" si="64"/>
        <v>36-45</v>
      </c>
      <c r="G477" t="s">
        <v>8</v>
      </c>
      <c r="H477" t="s">
        <v>118</v>
      </c>
      <c r="I477" t="s">
        <v>215</v>
      </c>
      <c r="J477" t="str">
        <f t="shared" si="65"/>
        <v>outlook.com</v>
      </c>
      <c r="K477" t="s">
        <v>214</v>
      </c>
      <c r="L477" t="s">
        <v>213</v>
      </c>
      <c r="M477" s="2">
        <v>45327</v>
      </c>
      <c r="N477" t="s">
        <v>212</v>
      </c>
      <c r="O477" t="s">
        <v>211</v>
      </c>
      <c r="P477">
        <v>166.28</v>
      </c>
      <c r="Q477">
        <v>1</v>
      </c>
      <c r="R477" t="s">
        <v>1</v>
      </c>
      <c r="S477" s="5">
        <v>0</v>
      </c>
      <c r="T477" s="3">
        <v>2</v>
      </c>
      <c r="U477" s="4" t="str">
        <f t="shared" si="66"/>
        <v>Before_time</v>
      </c>
      <c r="V477">
        <v>38</v>
      </c>
      <c r="W477" s="3">
        <f t="shared" si="67"/>
        <v>1</v>
      </c>
      <c r="X477" s="2">
        <v>45328</v>
      </c>
      <c r="Y477" s="1">
        <f>YEAR(Table2[[#This Row],[Delivery_Date]])</f>
        <v>2024</v>
      </c>
      <c r="Z477" s="2" t="str">
        <f t="shared" si="68"/>
        <v>Feb</v>
      </c>
      <c r="AA477" t="s">
        <v>210</v>
      </c>
      <c r="AB477">
        <f t="shared" si="69"/>
        <v>204.28</v>
      </c>
      <c r="AC477">
        <f>Table2[[#This Row],[Price]]*Table2[[#This Row],[Quantity]]*Table2[[#This Row],[COUPON %]]/100</f>
        <v>0</v>
      </c>
      <c r="AD477">
        <f t="shared" si="70"/>
        <v>166.28</v>
      </c>
      <c r="AE477" s="1">
        <f t="shared" si="71"/>
        <v>166.28</v>
      </c>
    </row>
    <row r="478" spans="1:31" x14ac:dyDescent="0.25">
      <c r="A478" t="s">
        <v>32</v>
      </c>
      <c r="B478" t="str">
        <f t="shared" si="63"/>
        <v xml:space="preserve">Diana French </v>
      </c>
      <c r="C478" t="s">
        <v>31</v>
      </c>
      <c r="D478" t="s">
        <v>30</v>
      </c>
      <c r="E478">
        <v>54</v>
      </c>
      <c r="F478" t="str">
        <f t="shared" si="64"/>
        <v>&gt;45</v>
      </c>
      <c r="G478" t="s">
        <v>29</v>
      </c>
      <c r="H478" t="s">
        <v>28</v>
      </c>
      <c r="I478" t="s">
        <v>27</v>
      </c>
      <c r="J478" t="str">
        <f t="shared" si="65"/>
        <v>outlook.com</v>
      </c>
      <c r="K478" t="s">
        <v>26</v>
      </c>
      <c r="L478" t="s">
        <v>209</v>
      </c>
      <c r="M478" s="2">
        <v>45353</v>
      </c>
      <c r="N478" t="s">
        <v>208</v>
      </c>
      <c r="O478" t="s">
        <v>199</v>
      </c>
      <c r="P478">
        <v>477.52</v>
      </c>
      <c r="Q478">
        <v>4</v>
      </c>
      <c r="R478" t="s">
        <v>166</v>
      </c>
      <c r="S478" s="5">
        <v>10</v>
      </c>
      <c r="T478" s="3">
        <v>3</v>
      </c>
      <c r="U478" s="4" t="str">
        <f t="shared" si="66"/>
        <v>Before_time</v>
      </c>
      <c r="V478">
        <v>54</v>
      </c>
      <c r="W478" s="3">
        <f t="shared" si="67"/>
        <v>1</v>
      </c>
      <c r="X478" s="2">
        <v>45354</v>
      </c>
      <c r="Y478" s="1">
        <f>YEAR(Table2[[#This Row],[Delivery_Date]])</f>
        <v>2024</v>
      </c>
      <c r="Z478" s="2" t="str">
        <f t="shared" si="68"/>
        <v>Mar</v>
      </c>
      <c r="AA478" t="s">
        <v>207</v>
      </c>
      <c r="AB478">
        <f t="shared" si="69"/>
        <v>1773.0719999999999</v>
      </c>
      <c r="AC478">
        <f>Table2[[#This Row],[Price]]*Table2[[#This Row],[Quantity]]*Table2[[#This Row],[COUPON %]]/100</f>
        <v>191.00799999999998</v>
      </c>
      <c r="AD478">
        <f t="shared" si="70"/>
        <v>1719.0719999999999</v>
      </c>
      <c r="AE478" s="1">
        <f t="shared" si="71"/>
        <v>1910.08</v>
      </c>
    </row>
    <row r="479" spans="1:31" x14ac:dyDescent="0.25">
      <c r="A479" t="s">
        <v>206</v>
      </c>
      <c r="B479" t="str">
        <f t="shared" si="63"/>
        <v xml:space="preserve">Alexandra Smith </v>
      </c>
      <c r="C479" t="s">
        <v>205</v>
      </c>
      <c r="D479" t="s">
        <v>204</v>
      </c>
      <c r="E479">
        <v>70</v>
      </c>
      <c r="F479" t="str">
        <f t="shared" si="64"/>
        <v>&gt;45</v>
      </c>
      <c r="G479" t="s">
        <v>108</v>
      </c>
      <c r="H479" t="s">
        <v>107</v>
      </c>
      <c r="I479" t="s">
        <v>203</v>
      </c>
      <c r="J479" t="str">
        <f t="shared" si="65"/>
        <v>rediffmail.com</v>
      </c>
      <c r="K479" t="s">
        <v>202</v>
      </c>
      <c r="L479" t="s">
        <v>201</v>
      </c>
      <c r="M479" s="2">
        <v>45392</v>
      </c>
      <c r="N479" t="s">
        <v>200</v>
      </c>
      <c r="O479" t="s">
        <v>199</v>
      </c>
      <c r="P479">
        <v>477.52</v>
      </c>
      <c r="Q479">
        <v>5</v>
      </c>
      <c r="R479" t="s">
        <v>166</v>
      </c>
      <c r="S479" s="5">
        <v>10</v>
      </c>
      <c r="T479" s="3">
        <v>7</v>
      </c>
      <c r="U479" s="4" t="str">
        <f t="shared" si="66"/>
        <v>Before_time</v>
      </c>
      <c r="V479">
        <v>53</v>
      </c>
      <c r="W479" s="3">
        <f t="shared" si="67"/>
        <v>2</v>
      </c>
      <c r="X479" s="2">
        <v>45394</v>
      </c>
      <c r="Y479" s="1">
        <f>YEAR(Table2[[#This Row],[Delivery_Date]])</f>
        <v>2024</v>
      </c>
      <c r="Z479" s="2" t="str">
        <f t="shared" si="68"/>
        <v>Apr</v>
      </c>
      <c r="AA479" t="s">
        <v>198</v>
      </c>
      <c r="AB479">
        <f t="shared" si="69"/>
        <v>2201.84</v>
      </c>
      <c r="AC479">
        <f>Table2[[#This Row],[Price]]*Table2[[#This Row],[Quantity]]*Table2[[#This Row],[COUPON %]]/100</f>
        <v>238.76</v>
      </c>
      <c r="AD479">
        <f t="shared" si="70"/>
        <v>2148.84</v>
      </c>
      <c r="AE479" s="1">
        <f t="shared" si="71"/>
        <v>2387.6</v>
      </c>
    </row>
    <row r="480" spans="1:31" x14ac:dyDescent="0.25">
      <c r="A480" t="s">
        <v>197</v>
      </c>
      <c r="B480" t="str">
        <f t="shared" si="63"/>
        <v xml:space="preserve">Janice Gordon </v>
      </c>
      <c r="C480" t="s">
        <v>196</v>
      </c>
      <c r="D480" t="s">
        <v>195</v>
      </c>
      <c r="E480">
        <v>43</v>
      </c>
      <c r="F480" t="str">
        <f t="shared" si="64"/>
        <v>36-45</v>
      </c>
      <c r="G480" t="s">
        <v>108</v>
      </c>
      <c r="H480" t="s">
        <v>7</v>
      </c>
      <c r="I480" t="s">
        <v>194</v>
      </c>
      <c r="J480" t="str">
        <f t="shared" si="65"/>
        <v>yahoo.com</v>
      </c>
      <c r="K480" t="s">
        <v>193</v>
      </c>
      <c r="L480" t="s">
        <v>192</v>
      </c>
      <c r="M480" s="2">
        <v>45259</v>
      </c>
      <c r="N480" t="s">
        <v>191</v>
      </c>
      <c r="O480" t="s">
        <v>190</v>
      </c>
      <c r="P480">
        <v>158.53</v>
      </c>
      <c r="Q480">
        <v>2</v>
      </c>
      <c r="R480" t="s">
        <v>1</v>
      </c>
      <c r="S480" s="5">
        <v>0</v>
      </c>
      <c r="T480" s="3">
        <v>5</v>
      </c>
      <c r="U480" s="4" t="str">
        <f t="shared" si="66"/>
        <v>Before_time</v>
      </c>
      <c r="V480">
        <v>69</v>
      </c>
      <c r="W480" s="3">
        <f t="shared" si="67"/>
        <v>2</v>
      </c>
      <c r="X480" s="2">
        <v>45261</v>
      </c>
      <c r="Y480" s="1">
        <f>YEAR(Table2[[#This Row],[Delivery_Date]])</f>
        <v>2023</v>
      </c>
      <c r="Z480" s="2" t="str">
        <f t="shared" si="68"/>
        <v>Dec</v>
      </c>
      <c r="AA480" t="s">
        <v>189</v>
      </c>
      <c r="AB480">
        <f t="shared" si="69"/>
        <v>386.06</v>
      </c>
      <c r="AC480">
        <f>Table2[[#This Row],[Price]]*Table2[[#This Row],[Quantity]]*Table2[[#This Row],[COUPON %]]/100</f>
        <v>0</v>
      </c>
      <c r="AD480">
        <f t="shared" si="70"/>
        <v>317.06</v>
      </c>
      <c r="AE480" s="1">
        <f t="shared" si="71"/>
        <v>317.06</v>
      </c>
    </row>
    <row r="481" spans="1:31" x14ac:dyDescent="0.25">
      <c r="A481" t="s">
        <v>188</v>
      </c>
      <c r="B481" t="str">
        <f t="shared" si="63"/>
        <v xml:space="preserve">Deborah Bates </v>
      </c>
      <c r="C481" t="s">
        <v>187</v>
      </c>
      <c r="D481" t="s">
        <v>186</v>
      </c>
      <c r="E481">
        <v>23</v>
      </c>
      <c r="F481" t="str">
        <f t="shared" si="64"/>
        <v>0-25</v>
      </c>
      <c r="G481" t="s">
        <v>108</v>
      </c>
      <c r="H481" t="s">
        <v>118</v>
      </c>
      <c r="I481" t="s">
        <v>185</v>
      </c>
      <c r="J481" t="str">
        <f t="shared" si="65"/>
        <v>yahoo.com</v>
      </c>
      <c r="K481" t="s">
        <v>184</v>
      </c>
      <c r="L481" t="s">
        <v>183</v>
      </c>
      <c r="M481" s="2">
        <v>45373</v>
      </c>
      <c r="N481" t="s">
        <v>182</v>
      </c>
      <c r="O481" t="s">
        <v>181</v>
      </c>
      <c r="P481">
        <v>405</v>
      </c>
      <c r="Q481">
        <v>3</v>
      </c>
      <c r="R481" t="s">
        <v>166</v>
      </c>
      <c r="S481" s="5">
        <v>10</v>
      </c>
      <c r="T481" s="3">
        <v>5</v>
      </c>
      <c r="U481" s="4" t="str">
        <f t="shared" si="66"/>
        <v>Late_Delivery</v>
      </c>
      <c r="V481">
        <v>54</v>
      </c>
      <c r="W481" s="3">
        <f t="shared" si="67"/>
        <v>6</v>
      </c>
      <c r="X481" s="2">
        <v>45379</v>
      </c>
      <c r="Y481" s="1">
        <f>YEAR(Table2[[#This Row],[Delivery_Date]])</f>
        <v>2024</v>
      </c>
      <c r="Z481" s="2" t="str">
        <f t="shared" si="68"/>
        <v>Mar</v>
      </c>
      <c r="AA481" t="s">
        <v>180</v>
      </c>
      <c r="AB481">
        <f t="shared" si="69"/>
        <v>1147.5</v>
      </c>
      <c r="AC481">
        <f>Table2[[#This Row],[Price]]*Table2[[#This Row],[Quantity]]*Table2[[#This Row],[COUPON %]]/100</f>
        <v>121.5</v>
      </c>
      <c r="AD481">
        <f t="shared" si="70"/>
        <v>1093.5</v>
      </c>
      <c r="AE481" s="1">
        <f t="shared" si="71"/>
        <v>1215</v>
      </c>
    </row>
    <row r="482" spans="1:31" x14ac:dyDescent="0.25">
      <c r="A482" t="s">
        <v>179</v>
      </c>
      <c r="B482" t="str">
        <f t="shared" si="63"/>
        <v xml:space="preserve">Lori Cook </v>
      </c>
      <c r="C482" t="s">
        <v>178</v>
      </c>
      <c r="D482" t="s">
        <v>177</v>
      </c>
      <c r="E482">
        <v>18</v>
      </c>
      <c r="F482" t="str">
        <f t="shared" si="64"/>
        <v>0-25</v>
      </c>
      <c r="G482" t="s">
        <v>29</v>
      </c>
      <c r="H482" t="s">
        <v>7</v>
      </c>
      <c r="I482" t="s">
        <v>176</v>
      </c>
      <c r="J482" t="str">
        <f t="shared" si="65"/>
        <v>rediffmail.com</v>
      </c>
      <c r="K482" t="s">
        <v>175</v>
      </c>
      <c r="L482" t="s">
        <v>174</v>
      </c>
      <c r="M482" s="2">
        <v>45380</v>
      </c>
      <c r="N482" t="s">
        <v>173</v>
      </c>
      <c r="O482" t="s">
        <v>123</v>
      </c>
      <c r="P482">
        <v>107.47</v>
      </c>
      <c r="Q482">
        <v>4</v>
      </c>
      <c r="R482" t="s">
        <v>166</v>
      </c>
      <c r="S482" s="5">
        <v>10</v>
      </c>
      <c r="T482" s="3">
        <v>3</v>
      </c>
      <c r="U482" s="4" t="str">
        <f t="shared" si="66"/>
        <v>Late_Delivery</v>
      </c>
      <c r="V482">
        <v>65</v>
      </c>
      <c r="W482" s="3">
        <f t="shared" si="67"/>
        <v>5</v>
      </c>
      <c r="X482" s="2">
        <v>45385</v>
      </c>
      <c r="Y482" s="1">
        <f>YEAR(Table2[[#This Row],[Delivery_Date]])</f>
        <v>2024</v>
      </c>
      <c r="Z482" s="2" t="str">
        <f t="shared" si="68"/>
        <v>Apr</v>
      </c>
      <c r="AA482" t="s">
        <v>172</v>
      </c>
      <c r="AB482">
        <f t="shared" si="69"/>
        <v>451.892</v>
      </c>
      <c r="AC482">
        <f>Table2[[#This Row],[Price]]*Table2[[#This Row],[Quantity]]*Table2[[#This Row],[COUPON %]]/100</f>
        <v>42.988</v>
      </c>
      <c r="AD482">
        <f t="shared" si="70"/>
        <v>386.892</v>
      </c>
      <c r="AE482" s="1">
        <f t="shared" si="71"/>
        <v>429.88</v>
      </c>
    </row>
    <row r="483" spans="1:31" x14ac:dyDescent="0.25">
      <c r="A483" t="s">
        <v>91</v>
      </c>
      <c r="B483" t="str">
        <f t="shared" si="63"/>
        <v xml:space="preserve">Brittany Stewart </v>
      </c>
      <c r="C483" t="s">
        <v>90</v>
      </c>
      <c r="D483" t="s">
        <v>89</v>
      </c>
      <c r="E483">
        <v>68</v>
      </c>
      <c r="F483" t="str">
        <f t="shared" si="64"/>
        <v>&gt;45</v>
      </c>
      <c r="G483" t="s">
        <v>8</v>
      </c>
      <c r="H483" t="s">
        <v>18</v>
      </c>
      <c r="I483" t="s">
        <v>88</v>
      </c>
      <c r="J483" t="str">
        <f t="shared" si="65"/>
        <v>gmail.com</v>
      </c>
      <c r="K483" t="s">
        <v>87</v>
      </c>
      <c r="L483" t="s">
        <v>171</v>
      </c>
      <c r="M483" s="2">
        <v>45072</v>
      </c>
      <c r="N483" t="s">
        <v>170</v>
      </c>
      <c r="O483" t="s">
        <v>35</v>
      </c>
      <c r="P483">
        <v>128.13999999999999</v>
      </c>
      <c r="Q483">
        <v>3</v>
      </c>
      <c r="R483" t="s">
        <v>64</v>
      </c>
      <c r="S483" s="5">
        <v>20</v>
      </c>
      <c r="T483" s="3">
        <v>2</v>
      </c>
      <c r="U483" s="4" t="str">
        <f t="shared" si="66"/>
        <v>Late_Delivery</v>
      </c>
      <c r="V483">
        <v>59</v>
      </c>
      <c r="W483" s="3">
        <f t="shared" si="67"/>
        <v>4</v>
      </c>
      <c r="X483" s="2">
        <v>45076</v>
      </c>
      <c r="Y483" s="1">
        <f>YEAR(Table2[[#This Row],[Delivery_Date]])</f>
        <v>2023</v>
      </c>
      <c r="Z483" s="2" t="str">
        <f t="shared" si="68"/>
        <v>May</v>
      </c>
      <c r="AA483" t="s">
        <v>169</v>
      </c>
      <c r="AB483">
        <f t="shared" si="69"/>
        <v>366.536</v>
      </c>
      <c r="AC483">
        <f>Table2[[#This Row],[Price]]*Table2[[#This Row],[Quantity]]*Table2[[#This Row],[COUPON %]]/100</f>
        <v>76.884</v>
      </c>
      <c r="AD483">
        <f t="shared" si="70"/>
        <v>307.536</v>
      </c>
      <c r="AE483" s="1">
        <f t="shared" si="71"/>
        <v>384.41999999999996</v>
      </c>
    </row>
    <row r="484" spans="1:31" x14ac:dyDescent="0.25">
      <c r="A484" t="s">
        <v>164</v>
      </c>
      <c r="B484" t="str">
        <f t="shared" si="63"/>
        <v xml:space="preserve">Mallory Mitchell </v>
      </c>
      <c r="C484" t="s">
        <v>163</v>
      </c>
      <c r="D484" t="s">
        <v>162</v>
      </c>
      <c r="E484">
        <v>42</v>
      </c>
      <c r="F484" t="str">
        <f t="shared" si="64"/>
        <v>36-45</v>
      </c>
      <c r="G484" t="s">
        <v>29</v>
      </c>
      <c r="H484" t="s">
        <v>79</v>
      </c>
      <c r="I484" t="s">
        <v>161</v>
      </c>
      <c r="J484" t="str">
        <f t="shared" si="65"/>
        <v>yahoo.com</v>
      </c>
      <c r="K484" t="s">
        <v>160</v>
      </c>
      <c r="L484" t="s">
        <v>168</v>
      </c>
      <c r="M484" s="2">
        <v>45290</v>
      </c>
      <c r="N484" t="s">
        <v>167</v>
      </c>
      <c r="O484" t="s">
        <v>65</v>
      </c>
      <c r="P484">
        <v>20.7</v>
      </c>
      <c r="Q484">
        <v>1</v>
      </c>
      <c r="R484" t="s">
        <v>166</v>
      </c>
      <c r="S484" s="5">
        <v>10</v>
      </c>
      <c r="T484" s="3">
        <v>5</v>
      </c>
      <c r="U484" s="4" t="str">
        <f t="shared" si="66"/>
        <v>Before_time</v>
      </c>
      <c r="V484">
        <v>55</v>
      </c>
      <c r="W484" s="3">
        <f t="shared" si="67"/>
        <v>1</v>
      </c>
      <c r="X484" s="2">
        <v>45291</v>
      </c>
      <c r="Y484" s="1">
        <f>YEAR(Table2[[#This Row],[Delivery_Date]])</f>
        <v>2023</v>
      </c>
      <c r="Z484" s="2" t="str">
        <f t="shared" si="68"/>
        <v>Dec</v>
      </c>
      <c r="AA484" t="s">
        <v>165</v>
      </c>
      <c r="AB484">
        <f t="shared" si="69"/>
        <v>73.63</v>
      </c>
      <c r="AC484">
        <f>Table2[[#This Row],[Price]]*Table2[[#This Row],[Quantity]]*Table2[[#This Row],[COUPON %]]/100</f>
        <v>2.0699999999999998</v>
      </c>
      <c r="AD484">
        <f t="shared" si="70"/>
        <v>18.63</v>
      </c>
      <c r="AE484" s="1">
        <f t="shared" si="71"/>
        <v>20.7</v>
      </c>
    </row>
    <row r="485" spans="1:31" x14ac:dyDescent="0.25">
      <c r="A485" t="s">
        <v>164</v>
      </c>
      <c r="B485" t="str">
        <f t="shared" si="63"/>
        <v xml:space="preserve">Mallory Mitchell </v>
      </c>
      <c r="C485" t="s">
        <v>163</v>
      </c>
      <c r="D485" t="s">
        <v>162</v>
      </c>
      <c r="E485">
        <v>42</v>
      </c>
      <c r="F485" t="str">
        <f t="shared" si="64"/>
        <v>36-45</v>
      </c>
      <c r="G485" t="s">
        <v>29</v>
      </c>
      <c r="H485" t="s">
        <v>79</v>
      </c>
      <c r="I485" t="s">
        <v>161</v>
      </c>
      <c r="J485" t="str">
        <f t="shared" si="65"/>
        <v>yahoo.com</v>
      </c>
      <c r="K485" t="s">
        <v>160</v>
      </c>
      <c r="L485" t="s">
        <v>159</v>
      </c>
      <c r="M485" s="2">
        <v>45128</v>
      </c>
      <c r="N485" t="s">
        <v>158</v>
      </c>
      <c r="O485" t="s">
        <v>84</v>
      </c>
      <c r="P485">
        <v>62.42</v>
      </c>
      <c r="Q485">
        <v>3</v>
      </c>
      <c r="R485" t="s">
        <v>34</v>
      </c>
      <c r="S485" s="5">
        <v>8</v>
      </c>
      <c r="T485" s="3">
        <v>6</v>
      </c>
      <c r="U485" s="4" t="str">
        <f t="shared" si="66"/>
        <v>Before_time</v>
      </c>
      <c r="V485">
        <v>39</v>
      </c>
      <c r="W485" s="3">
        <f t="shared" si="67"/>
        <v>1</v>
      </c>
      <c r="X485" s="2">
        <v>45129</v>
      </c>
      <c r="Y485" s="1">
        <f>YEAR(Table2[[#This Row],[Delivery_Date]])</f>
        <v>2023</v>
      </c>
      <c r="Z485" s="2" t="str">
        <f t="shared" si="68"/>
        <v>Jul</v>
      </c>
      <c r="AA485" t="s">
        <v>157</v>
      </c>
      <c r="AB485">
        <f t="shared" si="69"/>
        <v>211.2792</v>
      </c>
      <c r="AC485">
        <f>Table2[[#This Row],[Price]]*Table2[[#This Row],[Quantity]]*Table2[[#This Row],[COUPON %]]/100</f>
        <v>14.980799999999999</v>
      </c>
      <c r="AD485">
        <f t="shared" si="70"/>
        <v>172.2792</v>
      </c>
      <c r="AE485" s="1">
        <f t="shared" si="71"/>
        <v>187.26</v>
      </c>
    </row>
    <row r="486" spans="1:31" x14ac:dyDescent="0.25">
      <c r="A486" t="s">
        <v>156</v>
      </c>
      <c r="B486" t="str">
        <f t="shared" si="63"/>
        <v xml:space="preserve">Traci Jones </v>
      </c>
      <c r="C486" t="s">
        <v>155</v>
      </c>
      <c r="D486" t="s">
        <v>154</v>
      </c>
      <c r="E486">
        <v>34</v>
      </c>
      <c r="F486" t="str">
        <f t="shared" si="64"/>
        <v>26-35</v>
      </c>
      <c r="G486" t="s">
        <v>108</v>
      </c>
      <c r="H486" t="s">
        <v>118</v>
      </c>
      <c r="I486" t="s">
        <v>153</v>
      </c>
      <c r="J486" t="str">
        <f t="shared" si="65"/>
        <v>yahoo.com</v>
      </c>
      <c r="K486" t="s">
        <v>152</v>
      </c>
      <c r="L486" t="s">
        <v>151</v>
      </c>
      <c r="M486" s="2">
        <v>45283</v>
      </c>
      <c r="N486" t="s">
        <v>150</v>
      </c>
      <c r="O486" t="s">
        <v>149</v>
      </c>
      <c r="P486">
        <v>481.48</v>
      </c>
      <c r="Q486">
        <v>1</v>
      </c>
      <c r="R486" t="s">
        <v>34</v>
      </c>
      <c r="S486" s="5">
        <v>8</v>
      </c>
      <c r="T486" s="3">
        <v>5</v>
      </c>
      <c r="U486" s="4" t="str">
        <f t="shared" si="66"/>
        <v>Before_time</v>
      </c>
      <c r="V486">
        <v>70</v>
      </c>
      <c r="W486" s="3">
        <f t="shared" si="67"/>
        <v>4</v>
      </c>
      <c r="X486" s="2">
        <v>45287</v>
      </c>
      <c r="Y486" s="1">
        <f>YEAR(Table2[[#This Row],[Delivery_Date]])</f>
        <v>2023</v>
      </c>
      <c r="Z486" s="2" t="str">
        <f t="shared" si="68"/>
        <v>Dec</v>
      </c>
      <c r="AA486" t="s">
        <v>148</v>
      </c>
      <c r="AB486">
        <f t="shared" si="69"/>
        <v>512.96160000000009</v>
      </c>
      <c r="AC486">
        <f>Table2[[#This Row],[Price]]*Table2[[#This Row],[Quantity]]*Table2[[#This Row],[COUPON %]]/100</f>
        <v>38.5184</v>
      </c>
      <c r="AD486">
        <f t="shared" si="70"/>
        <v>442.96160000000003</v>
      </c>
      <c r="AE486" s="1">
        <f t="shared" si="71"/>
        <v>481.48</v>
      </c>
    </row>
    <row r="487" spans="1:31" x14ac:dyDescent="0.25">
      <c r="A487" t="s">
        <v>147</v>
      </c>
      <c r="B487" t="str">
        <f t="shared" si="63"/>
        <v xml:space="preserve">Courtney Parker </v>
      </c>
      <c r="C487" t="s">
        <v>146</v>
      </c>
      <c r="D487" t="s">
        <v>145</v>
      </c>
      <c r="E487">
        <v>29</v>
      </c>
      <c r="F487" t="str">
        <f t="shared" si="64"/>
        <v>26-35</v>
      </c>
      <c r="G487" t="s">
        <v>8</v>
      </c>
      <c r="H487" t="s">
        <v>118</v>
      </c>
      <c r="I487" t="s">
        <v>144</v>
      </c>
      <c r="J487" t="str">
        <f t="shared" si="65"/>
        <v>yahoo.com</v>
      </c>
      <c r="K487" t="s">
        <v>143</v>
      </c>
      <c r="L487" t="s">
        <v>142</v>
      </c>
      <c r="M487" s="2">
        <v>45633</v>
      </c>
      <c r="N487" t="s">
        <v>141</v>
      </c>
      <c r="O487" t="s">
        <v>140</v>
      </c>
      <c r="P487">
        <v>308.88</v>
      </c>
      <c r="Q487">
        <v>3</v>
      </c>
      <c r="R487" t="s">
        <v>64</v>
      </c>
      <c r="S487" s="5">
        <v>20</v>
      </c>
      <c r="T487" s="3">
        <v>5</v>
      </c>
      <c r="U487" s="4" t="str">
        <f t="shared" si="66"/>
        <v>Before_time</v>
      </c>
      <c r="V487">
        <v>68</v>
      </c>
      <c r="W487" s="3">
        <f t="shared" si="67"/>
        <v>3</v>
      </c>
      <c r="X487" s="2">
        <v>45636</v>
      </c>
      <c r="Y487" s="1">
        <f>YEAR(Table2[[#This Row],[Delivery_Date]])</f>
        <v>2024</v>
      </c>
      <c r="Z487" s="2" t="str">
        <f t="shared" si="68"/>
        <v>Dec</v>
      </c>
      <c r="AA487" t="s">
        <v>139</v>
      </c>
      <c r="AB487">
        <f t="shared" si="69"/>
        <v>809.31200000000001</v>
      </c>
      <c r="AC487">
        <f>Table2[[#This Row],[Price]]*Table2[[#This Row],[Quantity]]*Table2[[#This Row],[COUPON %]]/100</f>
        <v>185.328</v>
      </c>
      <c r="AD487">
        <f t="shared" si="70"/>
        <v>741.31200000000001</v>
      </c>
      <c r="AE487" s="1">
        <f t="shared" si="71"/>
        <v>926.64</v>
      </c>
    </row>
    <row r="488" spans="1:31" x14ac:dyDescent="0.25">
      <c r="A488" t="s">
        <v>138</v>
      </c>
      <c r="B488" t="str">
        <f t="shared" si="63"/>
        <v xml:space="preserve">Hannah Gutierrez </v>
      </c>
      <c r="C488" t="s">
        <v>137</v>
      </c>
      <c r="D488" t="s">
        <v>136</v>
      </c>
      <c r="E488">
        <v>55</v>
      </c>
      <c r="F488" t="str">
        <f t="shared" si="64"/>
        <v>&gt;45</v>
      </c>
      <c r="G488" t="s">
        <v>29</v>
      </c>
      <c r="H488" t="s">
        <v>40</v>
      </c>
      <c r="I488" t="s">
        <v>135</v>
      </c>
      <c r="J488" t="str">
        <f t="shared" si="65"/>
        <v>yahoo.com</v>
      </c>
      <c r="K488" t="s">
        <v>134</v>
      </c>
      <c r="L488" t="s">
        <v>133</v>
      </c>
      <c r="M488" s="2">
        <v>45356</v>
      </c>
      <c r="N488" t="s">
        <v>132</v>
      </c>
      <c r="O488" t="s">
        <v>131</v>
      </c>
      <c r="P488">
        <v>48.45</v>
      </c>
      <c r="Q488">
        <v>3</v>
      </c>
      <c r="R488" t="s">
        <v>64</v>
      </c>
      <c r="S488" s="5">
        <v>20</v>
      </c>
      <c r="T488" s="3">
        <v>6</v>
      </c>
      <c r="U488" s="4" t="str">
        <f t="shared" si="66"/>
        <v>Before_time</v>
      </c>
      <c r="V488">
        <v>43</v>
      </c>
      <c r="W488" s="3">
        <f t="shared" si="67"/>
        <v>2</v>
      </c>
      <c r="X488" s="2">
        <v>45358</v>
      </c>
      <c r="Y488" s="1">
        <f>YEAR(Table2[[#This Row],[Delivery_Date]])</f>
        <v>2024</v>
      </c>
      <c r="Z488" s="2" t="str">
        <f t="shared" si="68"/>
        <v>Mar</v>
      </c>
      <c r="AA488" t="s">
        <v>130</v>
      </c>
      <c r="AB488">
        <f t="shared" si="69"/>
        <v>159.28000000000003</v>
      </c>
      <c r="AC488">
        <f>Table2[[#This Row],[Price]]*Table2[[#This Row],[Quantity]]*Table2[[#This Row],[COUPON %]]/100</f>
        <v>29.070000000000004</v>
      </c>
      <c r="AD488">
        <f t="shared" si="70"/>
        <v>116.28000000000003</v>
      </c>
      <c r="AE488" s="1">
        <f t="shared" si="71"/>
        <v>145.35000000000002</v>
      </c>
    </row>
    <row r="489" spans="1:31" x14ac:dyDescent="0.25">
      <c r="A489" t="s">
        <v>129</v>
      </c>
      <c r="B489" t="str">
        <f t="shared" si="63"/>
        <v xml:space="preserve">Joseph Stewart </v>
      </c>
      <c r="C489" t="s">
        <v>128</v>
      </c>
      <c r="D489" t="s">
        <v>89</v>
      </c>
      <c r="E489">
        <v>30</v>
      </c>
      <c r="F489" t="str">
        <f t="shared" si="64"/>
        <v>26-35</v>
      </c>
      <c r="G489" t="s">
        <v>29</v>
      </c>
      <c r="H489" t="s">
        <v>7</v>
      </c>
      <c r="I489" t="s">
        <v>127</v>
      </c>
      <c r="J489" t="str">
        <f t="shared" si="65"/>
        <v>yahoo.com</v>
      </c>
      <c r="K489" t="s">
        <v>126</v>
      </c>
      <c r="L489" t="s">
        <v>125</v>
      </c>
      <c r="M489" s="2">
        <v>45188</v>
      </c>
      <c r="N489" t="s">
        <v>124</v>
      </c>
      <c r="O489" t="s">
        <v>123</v>
      </c>
      <c r="P489">
        <v>107.47</v>
      </c>
      <c r="Q489">
        <v>4</v>
      </c>
      <c r="R489" t="s">
        <v>34</v>
      </c>
      <c r="S489" s="5">
        <v>8</v>
      </c>
      <c r="T489" s="3">
        <v>2</v>
      </c>
      <c r="U489" s="4" t="str">
        <f t="shared" si="66"/>
        <v>Late_Delivery</v>
      </c>
      <c r="V489">
        <v>35</v>
      </c>
      <c r="W489" s="3">
        <f t="shared" si="67"/>
        <v>3</v>
      </c>
      <c r="X489" s="2">
        <v>45191</v>
      </c>
      <c r="Y489" s="1">
        <f>YEAR(Table2[[#This Row],[Delivery_Date]])</f>
        <v>2023</v>
      </c>
      <c r="Z489" s="2" t="str">
        <f t="shared" si="68"/>
        <v>Sep</v>
      </c>
      <c r="AA489" t="s">
        <v>122</v>
      </c>
      <c r="AB489">
        <f t="shared" si="69"/>
        <v>430.4896</v>
      </c>
      <c r="AC489">
        <f>Table2[[#This Row],[Price]]*Table2[[#This Row],[Quantity]]*Table2[[#This Row],[COUPON %]]/100</f>
        <v>34.3904</v>
      </c>
      <c r="AD489">
        <f t="shared" si="70"/>
        <v>395.4896</v>
      </c>
      <c r="AE489" s="1">
        <f t="shared" si="71"/>
        <v>429.88</v>
      </c>
    </row>
    <row r="490" spans="1:31" x14ac:dyDescent="0.25">
      <c r="A490" t="s">
        <v>121</v>
      </c>
      <c r="B490" t="str">
        <f t="shared" si="63"/>
        <v xml:space="preserve">Aaron Thompson </v>
      </c>
      <c r="C490" t="s">
        <v>120</v>
      </c>
      <c r="D490" t="s">
        <v>119</v>
      </c>
      <c r="E490">
        <v>47</v>
      </c>
      <c r="F490" t="str">
        <f t="shared" si="64"/>
        <v>&gt;45</v>
      </c>
      <c r="G490" t="s">
        <v>29</v>
      </c>
      <c r="H490" t="s">
        <v>118</v>
      </c>
      <c r="I490" t="s">
        <v>117</v>
      </c>
      <c r="J490" t="str">
        <f t="shared" si="65"/>
        <v>gmail.com</v>
      </c>
      <c r="K490" t="s">
        <v>116</v>
      </c>
      <c r="L490" t="s">
        <v>115</v>
      </c>
      <c r="M490" s="2">
        <v>45681</v>
      </c>
      <c r="N490" t="s">
        <v>114</v>
      </c>
      <c r="O490" t="s">
        <v>113</v>
      </c>
      <c r="P490">
        <v>441.03</v>
      </c>
      <c r="Q490">
        <v>5</v>
      </c>
      <c r="R490" t="s">
        <v>34</v>
      </c>
      <c r="S490" s="5">
        <v>8</v>
      </c>
      <c r="T490" s="3">
        <v>5</v>
      </c>
      <c r="U490" s="4" t="str">
        <f t="shared" si="66"/>
        <v>Before_time</v>
      </c>
      <c r="V490">
        <v>62</v>
      </c>
      <c r="W490" s="3">
        <f t="shared" si="67"/>
        <v>1</v>
      </c>
      <c r="X490" s="2">
        <v>45682</v>
      </c>
      <c r="Y490" s="1">
        <f>YEAR(Table2[[#This Row],[Delivery_Date]])</f>
        <v>2025</v>
      </c>
      <c r="Z490" s="2" t="str">
        <f t="shared" si="68"/>
        <v>Jan</v>
      </c>
      <c r="AA490" t="s">
        <v>112</v>
      </c>
      <c r="AB490">
        <f t="shared" si="69"/>
        <v>2090.7379999999998</v>
      </c>
      <c r="AC490">
        <f>Table2[[#This Row],[Price]]*Table2[[#This Row],[Quantity]]*Table2[[#This Row],[COUPON %]]/100</f>
        <v>176.41199999999998</v>
      </c>
      <c r="AD490">
        <f t="shared" si="70"/>
        <v>2028.7379999999998</v>
      </c>
      <c r="AE490" s="1">
        <f t="shared" si="71"/>
        <v>2205.1499999999996</v>
      </c>
    </row>
    <row r="491" spans="1:31" x14ac:dyDescent="0.25">
      <c r="A491" t="s">
        <v>111</v>
      </c>
      <c r="B491" t="str">
        <f t="shared" si="63"/>
        <v xml:space="preserve">Ashley Romero </v>
      </c>
      <c r="C491" t="s">
        <v>110</v>
      </c>
      <c r="D491" t="s">
        <v>109</v>
      </c>
      <c r="E491">
        <v>35</v>
      </c>
      <c r="F491" t="str">
        <f t="shared" si="64"/>
        <v>26-35</v>
      </c>
      <c r="G491" t="s">
        <v>108</v>
      </c>
      <c r="H491" t="s">
        <v>107</v>
      </c>
      <c r="I491" t="s">
        <v>106</v>
      </c>
      <c r="J491" t="str">
        <f t="shared" si="65"/>
        <v>yahoo.com</v>
      </c>
      <c r="K491" t="s">
        <v>105</v>
      </c>
      <c r="L491" t="s">
        <v>104</v>
      </c>
      <c r="M491" s="2">
        <v>45007</v>
      </c>
      <c r="N491" t="s">
        <v>103</v>
      </c>
      <c r="O491" t="s">
        <v>94</v>
      </c>
      <c r="P491">
        <v>33.49</v>
      </c>
      <c r="Q491">
        <v>4</v>
      </c>
      <c r="R491" t="s">
        <v>64</v>
      </c>
      <c r="S491" s="5">
        <v>20</v>
      </c>
      <c r="T491" s="3">
        <v>7</v>
      </c>
      <c r="U491" s="4" t="str">
        <f t="shared" si="66"/>
        <v>Before_time</v>
      </c>
      <c r="V491">
        <v>54</v>
      </c>
      <c r="W491" s="3">
        <f t="shared" si="67"/>
        <v>1</v>
      </c>
      <c r="X491" s="2">
        <v>45008</v>
      </c>
      <c r="Y491" s="1">
        <f>YEAR(Table2[[#This Row],[Delivery_Date]])</f>
        <v>2023</v>
      </c>
      <c r="Z491" s="2" t="str">
        <f t="shared" si="68"/>
        <v>Mar</v>
      </c>
      <c r="AA491" t="s">
        <v>102</v>
      </c>
      <c r="AB491">
        <f t="shared" si="69"/>
        <v>161.16800000000001</v>
      </c>
      <c r="AC491">
        <f>Table2[[#This Row],[Price]]*Table2[[#This Row],[Quantity]]*Table2[[#This Row],[COUPON %]]/100</f>
        <v>26.792000000000002</v>
      </c>
      <c r="AD491">
        <f t="shared" si="70"/>
        <v>107.16800000000001</v>
      </c>
      <c r="AE491" s="1">
        <f t="shared" si="71"/>
        <v>133.96</v>
      </c>
    </row>
    <row r="492" spans="1:31" x14ac:dyDescent="0.25">
      <c r="A492" t="s">
        <v>101</v>
      </c>
      <c r="B492" t="str">
        <f t="shared" si="63"/>
        <v xml:space="preserve">Gregory Lee </v>
      </c>
      <c r="C492" t="s">
        <v>100</v>
      </c>
      <c r="D492" t="s">
        <v>99</v>
      </c>
      <c r="E492">
        <v>26</v>
      </c>
      <c r="F492" t="str">
        <f t="shared" si="64"/>
        <v>26-35</v>
      </c>
      <c r="G492" t="s">
        <v>8</v>
      </c>
      <c r="H492" t="s">
        <v>28</v>
      </c>
      <c r="I492" t="s">
        <v>98</v>
      </c>
      <c r="J492" t="str">
        <f t="shared" si="65"/>
        <v>rediffmail.com</v>
      </c>
      <c r="K492" t="s">
        <v>97</v>
      </c>
      <c r="L492" t="s">
        <v>96</v>
      </c>
      <c r="M492" s="2">
        <v>45204</v>
      </c>
      <c r="N492" t="s">
        <v>95</v>
      </c>
      <c r="O492" t="s">
        <v>94</v>
      </c>
      <c r="P492">
        <v>33.49</v>
      </c>
      <c r="Q492">
        <v>1</v>
      </c>
      <c r="R492" t="s">
        <v>93</v>
      </c>
      <c r="S492" s="5">
        <v>15</v>
      </c>
      <c r="T492" s="3">
        <v>4</v>
      </c>
      <c r="U492" s="4" t="str">
        <f t="shared" si="66"/>
        <v>Before_time</v>
      </c>
      <c r="V492">
        <v>44</v>
      </c>
      <c r="W492" s="3">
        <f t="shared" si="67"/>
        <v>2</v>
      </c>
      <c r="X492" s="2">
        <v>45206</v>
      </c>
      <c r="Y492" s="1">
        <f>YEAR(Table2[[#This Row],[Delivery_Date]])</f>
        <v>2023</v>
      </c>
      <c r="Z492" s="2" t="str">
        <f t="shared" si="68"/>
        <v>Oct</v>
      </c>
      <c r="AA492" t="s">
        <v>92</v>
      </c>
      <c r="AB492">
        <f t="shared" si="69"/>
        <v>72.466499999999996</v>
      </c>
      <c r="AC492">
        <f>Table2[[#This Row],[Price]]*Table2[[#This Row],[Quantity]]*Table2[[#This Row],[COUPON %]]/100</f>
        <v>5.0235000000000003</v>
      </c>
      <c r="AD492">
        <f t="shared" si="70"/>
        <v>28.4665</v>
      </c>
      <c r="AE492" s="1">
        <f t="shared" si="71"/>
        <v>33.49</v>
      </c>
    </row>
    <row r="493" spans="1:31" x14ac:dyDescent="0.25">
      <c r="A493" t="s">
        <v>91</v>
      </c>
      <c r="B493" t="str">
        <f t="shared" si="63"/>
        <v xml:space="preserve">Brittany Stewart </v>
      </c>
      <c r="C493" t="s">
        <v>90</v>
      </c>
      <c r="D493" t="s">
        <v>89</v>
      </c>
      <c r="E493">
        <v>68</v>
      </c>
      <c r="F493" t="str">
        <f t="shared" si="64"/>
        <v>&gt;45</v>
      </c>
      <c r="G493" t="s">
        <v>8</v>
      </c>
      <c r="H493" t="s">
        <v>18</v>
      </c>
      <c r="I493" t="s">
        <v>88</v>
      </c>
      <c r="J493" t="str">
        <f t="shared" si="65"/>
        <v>gmail.com</v>
      </c>
      <c r="K493" t="s">
        <v>87</v>
      </c>
      <c r="L493" t="s">
        <v>86</v>
      </c>
      <c r="M493" s="2">
        <v>45590</v>
      </c>
      <c r="N493" t="s">
        <v>85</v>
      </c>
      <c r="O493" t="s">
        <v>84</v>
      </c>
      <c r="P493">
        <v>62.42</v>
      </c>
      <c r="Q493">
        <v>4</v>
      </c>
      <c r="R493" t="s">
        <v>1</v>
      </c>
      <c r="S493" s="5">
        <v>0</v>
      </c>
      <c r="T493" s="3">
        <v>4</v>
      </c>
      <c r="U493" s="4" t="str">
        <f t="shared" si="66"/>
        <v>Late_Delivery</v>
      </c>
      <c r="V493">
        <v>37</v>
      </c>
      <c r="W493" s="3">
        <f t="shared" si="67"/>
        <v>7</v>
      </c>
      <c r="X493" s="2">
        <v>45597</v>
      </c>
      <c r="Y493" s="1">
        <f>YEAR(Table2[[#This Row],[Delivery_Date]])</f>
        <v>2024</v>
      </c>
      <c r="Z493" s="2" t="str">
        <f t="shared" si="68"/>
        <v>Nov</v>
      </c>
      <c r="AA493" t="s">
        <v>83</v>
      </c>
      <c r="AB493">
        <f t="shared" si="69"/>
        <v>286.68</v>
      </c>
      <c r="AC493">
        <f>Table2[[#This Row],[Price]]*Table2[[#This Row],[Quantity]]*Table2[[#This Row],[COUPON %]]/100</f>
        <v>0</v>
      </c>
      <c r="AD493">
        <f t="shared" si="70"/>
        <v>249.68</v>
      </c>
      <c r="AE493" s="1">
        <f t="shared" si="71"/>
        <v>249.68</v>
      </c>
    </row>
    <row r="494" spans="1:31" x14ac:dyDescent="0.25">
      <c r="A494" t="s">
        <v>82</v>
      </c>
      <c r="B494" t="str">
        <f t="shared" si="63"/>
        <v xml:space="preserve">Robert Castillo </v>
      </c>
      <c r="C494" t="s">
        <v>81</v>
      </c>
      <c r="D494" t="s">
        <v>80</v>
      </c>
      <c r="E494">
        <v>32</v>
      </c>
      <c r="F494" t="str">
        <f t="shared" si="64"/>
        <v>26-35</v>
      </c>
      <c r="G494" t="s">
        <v>29</v>
      </c>
      <c r="H494" t="s">
        <v>79</v>
      </c>
      <c r="I494" t="s">
        <v>78</v>
      </c>
      <c r="J494" t="str">
        <f t="shared" si="65"/>
        <v>gmail.com</v>
      </c>
      <c r="K494" t="s">
        <v>77</v>
      </c>
      <c r="L494" t="s">
        <v>76</v>
      </c>
      <c r="M494" s="2">
        <v>45217</v>
      </c>
      <c r="N494" t="s">
        <v>75</v>
      </c>
      <c r="O494" t="s">
        <v>74</v>
      </c>
      <c r="P494">
        <v>129.75</v>
      </c>
      <c r="Q494">
        <v>1</v>
      </c>
      <c r="R494" t="s">
        <v>34</v>
      </c>
      <c r="S494" s="5">
        <v>8</v>
      </c>
      <c r="T494" s="3">
        <v>7</v>
      </c>
      <c r="U494" s="4" t="str">
        <f t="shared" si="66"/>
        <v>Before_time</v>
      </c>
      <c r="V494">
        <v>56</v>
      </c>
      <c r="W494" s="3">
        <f t="shared" si="67"/>
        <v>2</v>
      </c>
      <c r="X494" s="2">
        <v>45219</v>
      </c>
      <c r="Y494" s="1">
        <f>YEAR(Table2[[#This Row],[Delivery_Date]])</f>
        <v>2023</v>
      </c>
      <c r="Z494" s="2" t="str">
        <f t="shared" si="68"/>
        <v>Oct</v>
      </c>
      <c r="AA494" t="s">
        <v>73</v>
      </c>
      <c r="AB494">
        <f t="shared" si="69"/>
        <v>175.37</v>
      </c>
      <c r="AC494">
        <f>Table2[[#This Row],[Price]]*Table2[[#This Row],[Quantity]]*Table2[[#This Row],[COUPON %]]/100</f>
        <v>10.38</v>
      </c>
      <c r="AD494">
        <f t="shared" si="70"/>
        <v>119.37</v>
      </c>
      <c r="AE494" s="1">
        <f t="shared" si="71"/>
        <v>129.75</v>
      </c>
    </row>
    <row r="495" spans="1:31" x14ac:dyDescent="0.25">
      <c r="A495" t="s">
        <v>72</v>
      </c>
      <c r="B495" t="str">
        <f t="shared" si="63"/>
        <v xml:space="preserve">Gina Moreno </v>
      </c>
      <c r="C495" t="s">
        <v>71</v>
      </c>
      <c r="D495" t="s">
        <v>70</v>
      </c>
      <c r="E495">
        <v>36</v>
      </c>
      <c r="F495" t="str">
        <f t="shared" si="64"/>
        <v>36-45</v>
      </c>
      <c r="G495" t="s">
        <v>8</v>
      </c>
      <c r="H495" t="s">
        <v>59</v>
      </c>
      <c r="I495" t="s">
        <v>69</v>
      </c>
      <c r="J495" t="str">
        <f t="shared" si="65"/>
        <v>rediffmail.com</v>
      </c>
      <c r="K495" t="s">
        <v>68</v>
      </c>
      <c r="L495" t="s">
        <v>67</v>
      </c>
      <c r="M495" s="2">
        <v>45182</v>
      </c>
      <c r="N495" t="s">
        <v>66</v>
      </c>
      <c r="O495" t="s">
        <v>65</v>
      </c>
      <c r="P495">
        <v>20.7</v>
      </c>
      <c r="Q495">
        <v>4</v>
      </c>
      <c r="R495" t="s">
        <v>64</v>
      </c>
      <c r="S495" s="5">
        <v>20</v>
      </c>
      <c r="T495" s="3">
        <v>1</v>
      </c>
      <c r="U495" s="4" t="str">
        <f t="shared" si="66"/>
        <v>Late_Delivery</v>
      </c>
      <c r="V495">
        <v>61</v>
      </c>
      <c r="W495" s="3">
        <f t="shared" si="67"/>
        <v>2</v>
      </c>
      <c r="X495" s="2">
        <v>45184</v>
      </c>
      <c r="Y495" s="1">
        <f>YEAR(Table2[[#This Row],[Delivery_Date]])</f>
        <v>2023</v>
      </c>
      <c r="Z495" s="2" t="str">
        <f t="shared" si="68"/>
        <v>Sep</v>
      </c>
      <c r="AA495" t="s">
        <v>63</v>
      </c>
      <c r="AB495">
        <f t="shared" si="69"/>
        <v>127.24</v>
      </c>
      <c r="AC495">
        <f>Table2[[#This Row],[Price]]*Table2[[#This Row],[Quantity]]*Table2[[#This Row],[COUPON %]]/100</f>
        <v>16.559999999999999</v>
      </c>
      <c r="AD495">
        <f t="shared" si="70"/>
        <v>66.239999999999995</v>
      </c>
      <c r="AE495" s="1">
        <f t="shared" si="71"/>
        <v>82.8</v>
      </c>
    </row>
    <row r="496" spans="1:31" x14ac:dyDescent="0.25">
      <c r="A496" t="s">
        <v>62</v>
      </c>
      <c r="B496" t="str">
        <f t="shared" si="63"/>
        <v xml:space="preserve">Kara Brennan </v>
      </c>
      <c r="C496" t="s">
        <v>61</v>
      </c>
      <c r="D496" t="s">
        <v>60</v>
      </c>
      <c r="E496">
        <v>25</v>
      </c>
      <c r="F496" t="str">
        <f t="shared" si="64"/>
        <v>0-25</v>
      </c>
      <c r="G496" t="s">
        <v>8</v>
      </c>
      <c r="H496" t="s">
        <v>59</v>
      </c>
      <c r="I496" t="s">
        <v>58</v>
      </c>
      <c r="J496" t="str">
        <f t="shared" si="65"/>
        <v>outlook.com</v>
      </c>
      <c r="K496" t="s">
        <v>57</v>
      </c>
      <c r="L496" t="s">
        <v>56</v>
      </c>
      <c r="M496" s="2">
        <v>45107</v>
      </c>
      <c r="N496" t="s">
        <v>55</v>
      </c>
      <c r="O496" t="s">
        <v>54</v>
      </c>
      <c r="P496">
        <v>220.27</v>
      </c>
      <c r="Q496">
        <v>3</v>
      </c>
      <c r="R496" t="s">
        <v>1</v>
      </c>
      <c r="S496" s="5">
        <v>0</v>
      </c>
      <c r="T496" s="3">
        <v>4</v>
      </c>
      <c r="U496" s="4" t="str">
        <f t="shared" si="66"/>
        <v>Before_time</v>
      </c>
      <c r="V496">
        <v>50</v>
      </c>
      <c r="W496" s="3">
        <f t="shared" si="67"/>
        <v>1</v>
      </c>
      <c r="X496" s="2">
        <v>45108</v>
      </c>
      <c r="Y496" s="1">
        <f>YEAR(Table2[[#This Row],[Delivery_Date]])</f>
        <v>2023</v>
      </c>
      <c r="Z496" s="2" t="str">
        <f t="shared" si="68"/>
        <v>Jul</v>
      </c>
      <c r="AA496" t="s">
        <v>53</v>
      </c>
      <c r="AB496">
        <f t="shared" si="69"/>
        <v>710.81000000000006</v>
      </c>
      <c r="AC496">
        <f>Table2[[#This Row],[Price]]*Table2[[#This Row],[Quantity]]*Table2[[#This Row],[COUPON %]]/100</f>
        <v>0</v>
      </c>
      <c r="AD496">
        <f t="shared" si="70"/>
        <v>660.81000000000006</v>
      </c>
      <c r="AE496" s="1">
        <f t="shared" si="71"/>
        <v>660.81000000000006</v>
      </c>
    </row>
    <row r="497" spans="1:31" x14ac:dyDescent="0.25">
      <c r="A497" t="s">
        <v>52</v>
      </c>
      <c r="B497" t="str">
        <f t="shared" si="63"/>
        <v xml:space="preserve">Mark Henderson </v>
      </c>
      <c r="C497" t="s">
        <v>51</v>
      </c>
      <c r="D497" t="s">
        <v>50</v>
      </c>
      <c r="E497">
        <v>33</v>
      </c>
      <c r="F497" t="str">
        <f t="shared" si="64"/>
        <v>26-35</v>
      </c>
      <c r="G497" t="s">
        <v>8</v>
      </c>
      <c r="H497" t="s">
        <v>18</v>
      </c>
      <c r="I497" t="s">
        <v>49</v>
      </c>
      <c r="J497" t="str">
        <f t="shared" si="65"/>
        <v>yahoo.com</v>
      </c>
      <c r="K497" t="s">
        <v>48</v>
      </c>
      <c r="L497" t="s">
        <v>47</v>
      </c>
      <c r="M497" s="2">
        <v>45032</v>
      </c>
      <c r="N497" t="s">
        <v>46</v>
      </c>
      <c r="O497" t="s">
        <v>45</v>
      </c>
      <c r="P497">
        <v>433.62</v>
      </c>
      <c r="Q497">
        <v>2</v>
      </c>
      <c r="R497" t="s">
        <v>34</v>
      </c>
      <c r="S497" s="5">
        <v>8</v>
      </c>
      <c r="T497" s="3">
        <v>7</v>
      </c>
      <c r="U497" s="4" t="str">
        <f t="shared" si="66"/>
        <v>On_time</v>
      </c>
      <c r="V497">
        <v>56</v>
      </c>
      <c r="W497" s="3">
        <f t="shared" si="67"/>
        <v>7</v>
      </c>
      <c r="X497" s="2">
        <v>45039</v>
      </c>
      <c r="Y497" s="1">
        <f>YEAR(Table2[[#This Row],[Delivery_Date]])</f>
        <v>2023</v>
      </c>
      <c r="Z497" s="2" t="str">
        <f t="shared" si="68"/>
        <v>Apr</v>
      </c>
      <c r="AA497" t="s">
        <v>44</v>
      </c>
      <c r="AB497">
        <f t="shared" si="69"/>
        <v>853.86080000000004</v>
      </c>
      <c r="AC497">
        <f>Table2[[#This Row],[Price]]*Table2[[#This Row],[Quantity]]*Table2[[#This Row],[COUPON %]]/100</f>
        <v>69.379199999999997</v>
      </c>
      <c r="AD497">
        <f t="shared" si="70"/>
        <v>797.86080000000004</v>
      </c>
      <c r="AE497" s="1">
        <f t="shared" si="71"/>
        <v>867.24</v>
      </c>
    </row>
    <row r="498" spans="1:31" x14ac:dyDescent="0.25">
      <c r="A498" t="s">
        <v>43</v>
      </c>
      <c r="B498" t="str">
        <f t="shared" si="63"/>
        <v xml:space="preserve">Katie Hicks </v>
      </c>
      <c r="C498" t="s">
        <v>42</v>
      </c>
      <c r="D498" t="s">
        <v>41</v>
      </c>
      <c r="E498">
        <v>34</v>
      </c>
      <c r="F498" t="str">
        <f t="shared" si="64"/>
        <v>26-35</v>
      </c>
      <c r="G498" t="s">
        <v>8</v>
      </c>
      <c r="H498" t="s">
        <v>40</v>
      </c>
      <c r="I498" t="s">
        <v>39</v>
      </c>
      <c r="J498" t="str">
        <f t="shared" si="65"/>
        <v>rediffmail.com</v>
      </c>
      <c r="K498" t="s">
        <v>38</v>
      </c>
      <c r="L498" t="s">
        <v>37</v>
      </c>
      <c r="M498" s="2">
        <v>45490</v>
      </c>
      <c r="N498" t="s">
        <v>36</v>
      </c>
      <c r="O498" t="s">
        <v>35</v>
      </c>
      <c r="P498">
        <v>128.13999999999999</v>
      </c>
      <c r="Q498">
        <v>3</v>
      </c>
      <c r="R498" t="s">
        <v>34</v>
      </c>
      <c r="S498" s="5">
        <v>8</v>
      </c>
      <c r="T498" s="3">
        <v>5</v>
      </c>
      <c r="U498" s="4" t="str">
        <f t="shared" si="66"/>
        <v>On_time</v>
      </c>
      <c r="V498">
        <v>49</v>
      </c>
      <c r="W498" s="3">
        <f t="shared" si="67"/>
        <v>5</v>
      </c>
      <c r="X498" s="2">
        <v>45495</v>
      </c>
      <c r="Y498" s="1">
        <f>YEAR(Table2[[#This Row],[Delivery_Date]])</f>
        <v>2024</v>
      </c>
      <c r="Z498" s="2" t="str">
        <f t="shared" si="68"/>
        <v>Jul</v>
      </c>
      <c r="AA498" t="s">
        <v>33</v>
      </c>
      <c r="AB498">
        <f t="shared" si="69"/>
        <v>402.66639999999995</v>
      </c>
      <c r="AC498">
        <f>Table2[[#This Row],[Price]]*Table2[[#This Row],[Quantity]]*Table2[[#This Row],[COUPON %]]/100</f>
        <v>30.753599999999995</v>
      </c>
      <c r="AD498">
        <f t="shared" si="70"/>
        <v>353.66639999999995</v>
      </c>
      <c r="AE498" s="1">
        <f t="shared" si="71"/>
        <v>384.41999999999996</v>
      </c>
    </row>
    <row r="499" spans="1:31" x14ac:dyDescent="0.25">
      <c r="A499" t="s">
        <v>32</v>
      </c>
      <c r="B499" t="str">
        <f t="shared" si="63"/>
        <v xml:space="preserve">Diana French </v>
      </c>
      <c r="C499" t="s">
        <v>31</v>
      </c>
      <c r="D499" t="s">
        <v>30</v>
      </c>
      <c r="E499">
        <v>54</v>
      </c>
      <c r="F499" t="str">
        <f t="shared" si="64"/>
        <v>&gt;45</v>
      </c>
      <c r="G499" t="s">
        <v>29</v>
      </c>
      <c r="H499" t="s">
        <v>28</v>
      </c>
      <c r="I499" t="s">
        <v>27</v>
      </c>
      <c r="J499" t="str">
        <f t="shared" si="65"/>
        <v>outlook.com</v>
      </c>
      <c r="K499" t="s">
        <v>26</v>
      </c>
      <c r="L499" t="s">
        <v>25</v>
      </c>
      <c r="M499" s="2">
        <v>45381</v>
      </c>
      <c r="N499" t="s">
        <v>24</v>
      </c>
      <c r="O499" t="s">
        <v>23</v>
      </c>
      <c r="P499">
        <v>272.51</v>
      </c>
      <c r="Q499">
        <v>5</v>
      </c>
      <c r="R499" t="s">
        <v>1</v>
      </c>
      <c r="S499" s="5">
        <v>0</v>
      </c>
      <c r="T499" s="3">
        <v>3</v>
      </c>
      <c r="U499" s="4" t="str">
        <f t="shared" si="66"/>
        <v>Late_Delivery</v>
      </c>
      <c r="V499">
        <v>66</v>
      </c>
      <c r="W499" s="3">
        <f t="shared" si="67"/>
        <v>7</v>
      </c>
      <c r="X499" s="2">
        <v>45388</v>
      </c>
      <c r="Y499" s="1">
        <f>YEAR(Table2[[#This Row],[Delivery_Date]])</f>
        <v>2024</v>
      </c>
      <c r="Z499" s="2" t="str">
        <f t="shared" si="68"/>
        <v>Apr</v>
      </c>
      <c r="AA499" t="s">
        <v>22</v>
      </c>
      <c r="AB499">
        <f t="shared" si="69"/>
        <v>1428.55</v>
      </c>
      <c r="AC499">
        <f>Table2[[#This Row],[Price]]*Table2[[#This Row],[Quantity]]*Table2[[#This Row],[COUPON %]]/100</f>
        <v>0</v>
      </c>
      <c r="AD499">
        <f t="shared" si="70"/>
        <v>1362.55</v>
      </c>
      <c r="AE499" s="1">
        <f t="shared" si="71"/>
        <v>1362.55</v>
      </c>
    </row>
    <row r="500" spans="1:31" x14ac:dyDescent="0.25">
      <c r="A500" t="s">
        <v>21</v>
      </c>
      <c r="B500" t="str">
        <f t="shared" si="63"/>
        <v xml:space="preserve">Amanda Howard </v>
      </c>
      <c r="C500" t="s">
        <v>20</v>
      </c>
      <c r="D500" t="s">
        <v>19</v>
      </c>
      <c r="E500">
        <v>52</v>
      </c>
      <c r="F500" t="str">
        <f t="shared" si="64"/>
        <v>&gt;45</v>
      </c>
      <c r="G500" t="s">
        <v>8</v>
      </c>
      <c r="H500" t="s">
        <v>18</v>
      </c>
      <c r="I500" t="s">
        <v>17</v>
      </c>
      <c r="J500" t="str">
        <f t="shared" si="65"/>
        <v>outlook.com</v>
      </c>
      <c r="K500" t="s">
        <v>16</v>
      </c>
      <c r="L500" t="s">
        <v>15</v>
      </c>
      <c r="M500" s="2">
        <v>45472</v>
      </c>
      <c r="N500" t="s">
        <v>14</v>
      </c>
      <c r="O500" t="s">
        <v>13</v>
      </c>
      <c r="P500">
        <v>424.82</v>
      </c>
      <c r="Q500">
        <v>2</v>
      </c>
      <c r="R500" t="s">
        <v>1</v>
      </c>
      <c r="S500" s="5">
        <v>0</v>
      </c>
      <c r="T500" s="3">
        <v>6</v>
      </c>
      <c r="U500" s="4" t="str">
        <f t="shared" si="66"/>
        <v>Before_time</v>
      </c>
      <c r="V500">
        <v>63</v>
      </c>
      <c r="W500" s="3">
        <f t="shared" si="67"/>
        <v>5</v>
      </c>
      <c r="X500" s="2">
        <v>45477</v>
      </c>
      <c r="Y500" s="1">
        <f>YEAR(Table2[[#This Row],[Delivery_Date]])</f>
        <v>2024</v>
      </c>
      <c r="Z500" s="2" t="str">
        <f t="shared" si="68"/>
        <v>Jul</v>
      </c>
      <c r="AA500" t="s">
        <v>12</v>
      </c>
      <c r="AB500">
        <f t="shared" si="69"/>
        <v>912.64</v>
      </c>
      <c r="AC500">
        <f>Table2[[#This Row],[Price]]*Table2[[#This Row],[Quantity]]*Table2[[#This Row],[COUPON %]]/100</f>
        <v>0</v>
      </c>
      <c r="AD500">
        <f t="shared" si="70"/>
        <v>849.64</v>
      </c>
      <c r="AE500" s="1">
        <f t="shared" si="71"/>
        <v>849.64</v>
      </c>
    </row>
    <row r="501" spans="1:31" x14ac:dyDescent="0.25">
      <c r="A501" t="s">
        <v>11</v>
      </c>
      <c r="B501" t="str">
        <f t="shared" si="63"/>
        <v xml:space="preserve">Angela Evans </v>
      </c>
      <c r="C501" t="s">
        <v>10</v>
      </c>
      <c r="D501" t="s">
        <v>9</v>
      </c>
      <c r="E501">
        <v>52</v>
      </c>
      <c r="F501" t="str">
        <f t="shared" si="64"/>
        <v>&gt;45</v>
      </c>
      <c r="G501" t="s">
        <v>8</v>
      </c>
      <c r="H501" t="s">
        <v>7</v>
      </c>
      <c r="I501" t="s">
        <v>6</v>
      </c>
      <c r="J501" t="str">
        <f t="shared" si="65"/>
        <v>outlook.com</v>
      </c>
      <c r="K501" t="s">
        <v>5</v>
      </c>
      <c r="L501" t="s">
        <v>4</v>
      </c>
      <c r="M501" s="2">
        <v>45501</v>
      </c>
      <c r="N501" t="s">
        <v>3</v>
      </c>
      <c r="O501" t="s">
        <v>2</v>
      </c>
      <c r="P501">
        <v>44.5</v>
      </c>
      <c r="Q501">
        <v>4</v>
      </c>
      <c r="R501" t="s">
        <v>1</v>
      </c>
      <c r="S501" s="5">
        <v>0</v>
      </c>
      <c r="T501" s="3">
        <v>3</v>
      </c>
      <c r="U501" s="4" t="str">
        <f t="shared" si="66"/>
        <v>On_time</v>
      </c>
      <c r="V501">
        <v>45</v>
      </c>
      <c r="W501" s="3">
        <f t="shared" si="67"/>
        <v>3</v>
      </c>
      <c r="X501" s="2">
        <v>45504</v>
      </c>
      <c r="Y501" s="1">
        <f>YEAR(Table2[[#This Row],[Delivery_Date]])</f>
        <v>2024</v>
      </c>
      <c r="Z501" s="2" t="str">
        <f t="shared" si="68"/>
        <v>Jul</v>
      </c>
      <c r="AA501" t="s">
        <v>0</v>
      </c>
      <c r="AB501">
        <f t="shared" si="69"/>
        <v>223</v>
      </c>
      <c r="AC501">
        <f>Table2[[#This Row],[Price]]*Table2[[#This Row],[Quantity]]*Table2[[#This Row],[COUPON %]]/100</f>
        <v>0</v>
      </c>
      <c r="AD501">
        <f t="shared" si="70"/>
        <v>178</v>
      </c>
      <c r="AE501" s="1">
        <f t="shared" si="71"/>
        <v>178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2"/>
  <sheetViews>
    <sheetView topLeftCell="A31" workbookViewId="0">
      <selection activeCell="G53" sqref="G53"/>
    </sheetView>
  </sheetViews>
  <sheetFormatPr defaultRowHeight="15" x14ac:dyDescent="0.25"/>
  <sheetData>
    <row r="2" spans="2:10" x14ac:dyDescent="0.25">
      <c r="B2" s="22" t="s">
        <v>2100</v>
      </c>
      <c r="C2" s="22"/>
      <c r="D2" s="22"/>
      <c r="E2" s="22"/>
      <c r="F2" s="22"/>
      <c r="G2" s="22"/>
      <c r="H2" s="22"/>
      <c r="I2" s="22"/>
      <c r="J2" s="22"/>
    </row>
    <row r="3" spans="2:10" x14ac:dyDescent="0.25">
      <c r="B3" s="21" t="s">
        <v>2099</v>
      </c>
      <c r="C3" s="21"/>
      <c r="G3" s="21" t="s">
        <v>2098</v>
      </c>
      <c r="H3" s="21"/>
      <c r="I3" s="21"/>
    </row>
    <row r="4" spans="2:10" x14ac:dyDescent="0.25">
      <c r="B4" t="s">
        <v>2097</v>
      </c>
      <c r="G4" t="s">
        <v>2096</v>
      </c>
    </row>
    <row r="5" spans="2:10" x14ac:dyDescent="0.25">
      <c r="B5" t="s">
        <v>2095</v>
      </c>
      <c r="G5" t="s">
        <v>2094</v>
      </c>
    </row>
    <row r="6" spans="2:10" x14ac:dyDescent="0.25">
      <c r="B6" t="s">
        <v>2093</v>
      </c>
      <c r="G6" t="s">
        <v>2092</v>
      </c>
    </row>
    <row r="7" spans="2:10" x14ac:dyDescent="0.25">
      <c r="B7" t="s">
        <v>2091</v>
      </c>
    </row>
    <row r="10" spans="2:10" x14ac:dyDescent="0.25">
      <c r="B10" s="9" t="s">
        <v>2090</v>
      </c>
      <c r="C10" s="10"/>
      <c r="J10" t="s">
        <v>2089</v>
      </c>
    </row>
    <row r="11" spans="2:10" x14ac:dyDescent="0.25">
      <c r="B11" t="s">
        <v>2088</v>
      </c>
    </row>
    <row r="12" spans="2:10" x14ac:dyDescent="0.25">
      <c r="B12" t="s">
        <v>2087</v>
      </c>
    </row>
    <row r="13" spans="2:10" x14ac:dyDescent="0.25">
      <c r="B13" t="s">
        <v>2086</v>
      </c>
    </row>
    <row r="16" spans="2:10" x14ac:dyDescent="0.25">
      <c r="B16" s="9" t="s">
        <v>2085</v>
      </c>
    </row>
    <row r="17" spans="2:14" x14ac:dyDescent="0.25">
      <c r="B17" t="s">
        <v>2084</v>
      </c>
    </row>
    <row r="18" spans="2:14" x14ac:dyDescent="0.25">
      <c r="B18" t="s">
        <v>2083</v>
      </c>
    </row>
    <row r="19" spans="2:14" x14ac:dyDescent="0.25">
      <c r="B19" t="s">
        <v>2082</v>
      </c>
    </row>
    <row r="20" spans="2:14" x14ac:dyDescent="0.25">
      <c r="B20" t="s">
        <v>2081</v>
      </c>
    </row>
    <row r="22" spans="2:14" x14ac:dyDescent="0.25">
      <c r="B22" s="23" t="s">
        <v>2080</v>
      </c>
      <c r="C22" s="23"/>
      <c r="D22" s="23"/>
      <c r="E22" s="23"/>
      <c r="F22" s="23"/>
      <c r="G22" s="23"/>
      <c r="H22" s="23"/>
      <c r="I22" s="23"/>
      <c r="J22" s="23"/>
    </row>
    <row r="24" spans="2:14" x14ac:dyDescent="0.25">
      <c r="B24" s="22" t="s">
        <v>2079</v>
      </c>
      <c r="C24" s="22"/>
      <c r="D24" s="22"/>
      <c r="E24" s="22"/>
      <c r="F24" s="22"/>
      <c r="G24" s="22"/>
      <c r="H24" s="7"/>
    </row>
    <row r="26" spans="2:14" x14ac:dyDescent="0.25">
      <c r="B26" s="22" t="s">
        <v>2078</v>
      </c>
      <c r="C26" s="22"/>
      <c r="D26" s="22"/>
      <c r="E26" s="22"/>
      <c r="F26" s="22"/>
      <c r="G26" s="22"/>
      <c r="H26" s="22"/>
      <c r="I26" s="22"/>
      <c r="J26" s="22"/>
    </row>
    <row r="28" spans="2:14" x14ac:dyDescent="0.25">
      <c r="B28" s="22" t="s">
        <v>2077</v>
      </c>
      <c r="C28" s="22"/>
      <c r="D28" s="22"/>
      <c r="E28" s="22"/>
      <c r="F28" s="22"/>
      <c r="G28" s="22"/>
      <c r="H28" s="22"/>
      <c r="I28" s="22"/>
    </row>
    <row r="29" spans="2:14" x14ac:dyDescent="0.25">
      <c r="B29" s="22" t="s">
        <v>2076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1" spans="2:14" x14ac:dyDescent="0.25">
      <c r="B31" s="22" t="s">
        <v>2075</v>
      </c>
      <c r="C31" s="22"/>
      <c r="D31" s="22"/>
      <c r="E31" s="22"/>
      <c r="F31" s="22"/>
      <c r="G31" s="22"/>
      <c r="H31" s="22"/>
      <c r="I31" s="22"/>
    </row>
    <row r="33" spans="2:14" x14ac:dyDescent="0.25">
      <c r="B33" s="22" t="s">
        <v>2074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7"/>
      <c r="N33" s="7"/>
    </row>
    <row r="35" spans="2:14" ht="27.95" customHeight="1" x14ac:dyDescent="0.25">
      <c r="B35" s="24" t="s">
        <v>2073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8" spans="2:14" x14ac:dyDescent="0.25">
      <c r="B38" s="21" t="s">
        <v>2072</v>
      </c>
      <c r="C38" s="21"/>
      <c r="D38" s="21"/>
      <c r="E38" s="21"/>
      <c r="F38" s="21"/>
    </row>
    <row r="39" spans="2:14" x14ac:dyDescent="0.25">
      <c r="B39" t="s">
        <v>2071</v>
      </c>
    </row>
    <row r="40" spans="2:14" x14ac:dyDescent="0.25">
      <c r="B40" t="s">
        <v>2070</v>
      </c>
    </row>
    <row r="41" spans="2:14" x14ac:dyDescent="0.25">
      <c r="B41" t="s">
        <v>2069</v>
      </c>
    </row>
    <row r="42" spans="2:14" x14ac:dyDescent="0.25">
      <c r="B42" t="s">
        <v>2068</v>
      </c>
    </row>
    <row r="43" spans="2:14" x14ac:dyDescent="0.25">
      <c r="B43" t="s">
        <v>2067</v>
      </c>
    </row>
    <row r="44" spans="2:14" x14ac:dyDescent="0.25">
      <c r="B44" t="s">
        <v>2066</v>
      </c>
    </row>
    <row r="45" spans="2:14" x14ac:dyDescent="0.25">
      <c r="B45" t="s">
        <v>2065</v>
      </c>
    </row>
    <row r="46" spans="2:14" x14ac:dyDescent="0.25">
      <c r="B46" t="s">
        <v>2064</v>
      </c>
    </row>
    <row r="47" spans="2:14" x14ac:dyDescent="0.25">
      <c r="B47" t="s">
        <v>2063</v>
      </c>
    </row>
    <row r="48" spans="2:14" x14ac:dyDescent="0.25">
      <c r="B48" t="s">
        <v>2062</v>
      </c>
    </row>
    <row r="49" spans="2:12" x14ac:dyDescent="0.25">
      <c r="B49" t="s">
        <v>2061</v>
      </c>
    </row>
    <row r="51" spans="2:12" x14ac:dyDescent="0.25">
      <c r="B51" s="8"/>
    </row>
    <row r="52" spans="2:1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</sheetData>
  <mergeCells count="12">
    <mergeCell ref="B3:C3"/>
    <mergeCell ref="G3:I3"/>
    <mergeCell ref="B2:J2"/>
    <mergeCell ref="B22:J22"/>
    <mergeCell ref="B38:F38"/>
    <mergeCell ref="B35:L35"/>
    <mergeCell ref="B29:N29"/>
    <mergeCell ref="B24:G24"/>
    <mergeCell ref="B26:J26"/>
    <mergeCell ref="B28:I28"/>
    <mergeCell ref="B31:I31"/>
    <mergeCell ref="B33:L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8"/>
  <sheetViews>
    <sheetView workbookViewId="0">
      <selection activeCell="M300" sqref="M300"/>
    </sheetView>
  </sheetViews>
  <sheetFormatPr defaultRowHeight="15" x14ac:dyDescent="0.25"/>
  <cols>
    <col min="1" max="1" width="24.42578125" style="11" customWidth="1"/>
    <col min="2" max="2" width="14.28515625" customWidth="1"/>
    <col min="3" max="3" width="27.85546875" customWidth="1"/>
    <col min="4" max="4" width="11.5703125" customWidth="1"/>
    <col min="5" max="5" width="19.140625" bestFit="1" customWidth="1"/>
    <col min="6" max="6" width="11.140625" customWidth="1"/>
  </cols>
  <sheetData>
    <row r="1" spans="1:3" x14ac:dyDescent="0.25">
      <c r="A1" s="16" t="s">
        <v>2168</v>
      </c>
      <c r="B1" s="8" t="s">
        <v>2167</v>
      </c>
      <c r="C1" s="8" t="s">
        <v>2166</v>
      </c>
    </row>
    <row r="2" spans="1:3" x14ac:dyDescent="0.25">
      <c r="A2" s="11" t="s">
        <v>2165</v>
      </c>
      <c r="B2" s="1">
        <f t="array" ref="B2">SUM(1/COUNTIF(data!A2:A501,data!A2:A501))</f>
        <v>100.00000000000004</v>
      </c>
      <c r="C2" t="str">
        <f ca="1">_xlfn.FORMULATEXT(B2)</f>
        <v>{=SUM(1/COUNTIF(data!A2:A501,data!A2:A501))}</v>
      </c>
    </row>
    <row r="3" spans="1:3" ht="49.5" customHeight="1" x14ac:dyDescent="0.25">
      <c r="A3" s="11" t="s">
        <v>2164</v>
      </c>
      <c r="B3" s="12" t="s">
        <v>2107</v>
      </c>
      <c r="C3" t="s">
        <v>2137</v>
      </c>
    </row>
    <row r="4" spans="1:3" x14ac:dyDescent="0.25">
      <c r="B4" s="11" t="s">
        <v>433</v>
      </c>
      <c r="C4" s="1">
        <v>11</v>
      </c>
    </row>
    <row r="5" spans="1:3" x14ac:dyDescent="0.25">
      <c r="B5" s="11" t="s">
        <v>801</v>
      </c>
      <c r="C5" s="1">
        <v>11</v>
      </c>
    </row>
    <row r="6" spans="1:3" x14ac:dyDescent="0.25">
      <c r="B6" s="11" t="s">
        <v>2101</v>
      </c>
      <c r="C6" s="1">
        <v>22</v>
      </c>
    </row>
    <row r="7" spans="1:3" ht="99" customHeight="1" x14ac:dyDescent="0.25">
      <c r="A7" s="11" t="s">
        <v>2163</v>
      </c>
      <c r="B7" s="12" t="s">
        <v>2107</v>
      </c>
      <c r="C7" t="s">
        <v>2162</v>
      </c>
    </row>
    <row r="8" spans="1:3" x14ac:dyDescent="0.25">
      <c r="B8" s="11" t="s">
        <v>433</v>
      </c>
      <c r="C8" s="1">
        <v>3890.7599999999993</v>
      </c>
    </row>
    <row r="9" spans="1:3" x14ac:dyDescent="0.25">
      <c r="B9" s="11" t="s">
        <v>613</v>
      </c>
      <c r="C9" s="1">
        <v>3262.31</v>
      </c>
    </row>
    <row r="10" spans="1:3" x14ac:dyDescent="0.25">
      <c r="B10" s="11" t="s">
        <v>2101</v>
      </c>
      <c r="C10" s="1">
        <v>7153.07</v>
      </c>
    </row>
    <row r="11" spans="1:3" ht="84.75" customHeight="1" x14ac:dyDescent="0.25">
      <c r="A11" s="11" t="s">
        <v>2161</v>
      </c>
      <c r="B11">
        <f>AVERAGE(data!E2:E501)</f>
        <v>42.124000000000002</v>
      </c>
      <c r="C11" t="str">
        <f ca="1">_xlfn.FORMULATEXT(B11)</f>
        <v>=AVERAGE(data!E2:E501)</v>
      </c>
    </row>
    <row r="14" spans="1:3" x14ac:dyDescent="0.25">
      <c r="A14" s="11" t="s">
        <v>2160</v>
      </c>
      <c r="B14">
        <f>COUNTA(data!L2:L501)</f>
        <v>500</v>
      </c>
      <c r="C14" t="str">
        <f ca="1">_xlfn.FORMULATEXT(B14)</f>
        <v>=COUNTA(data!L2:L501)</v>
      </c>
    </row>
    <row r="15" spans="1:3" x14ac:dyDescent="0.25">
      <c r="A15" s="11" t="s">
        <v>2154</v>
      </c>
      <c r="B15">
        <f>AVERAGE(data!T2:T501)</f>
        <v>4.08</v>
      </c>
      <c r="C15" t="str">
        <f ca="1">_xlfn.FORMULATEXT(B15)</f>
        <v>=AVERAGE(data!T2:T501)</v>
      </c>
    </row>
    <row r="16" spans="1:3" ht="22.5" customHeight="1" x14ac:dyDescent="0.25">
      <c r="A16" s="11" t="s">
        <v>2153</v>
      </c>
      <c r="B16">
        <f>COUNTIF(data!V2:V501,"=0")</f>
        <v>0</v>
      </c>
      <c r="C16" t="str">
        <f ca="1">_xlfn.FORMULATEXT(B16)</f>
        <v>=COUNTIF(data!V2:V501,"=0")</v>
      </c>
    </row>
    <row r="17" spans="1:3" ht="32.25" customHeight="1" x14ac:dyDescent="0.25">
      <c r="B17" s="1"/>
    </row>
    <row r="18" spans="1:3" x14ac:dyDescent="0.25">
      <c r="A18" s="11" t="s">
        <v>2159</v>
      </c>
      <c r="B18">
        <f t="array" ref="B18">SUM(1/COUNTIF(data!O2:O501,data!O2:O501))</f>
        <v>50.000000000000249</v>
      </c>
      <c r="C18" t="str">
        <f ca="1">_xlfn.FORMULATEXT(B18)</f>
        <v>{=SUM(1/COUNTIF(data!O2:O501,data!O2:O501))}</v>
      </c>
    </row>
    <row r="19" spans="1:3" ht="71.25" customHeight="1" x14ac:dyDescent="0.25">
      <c r="A19" s="11" t="s">
        <v>2154</v>
      </c>
      <c r="B19" s="12" t="s">
        <v>2158</v>
      </c>
      <c r="C19" t="s">
        <v>2157</v>
      </c>
    </row>
    <row r="20" spans="1:3" x14ac:dyDescent="0.25">
      <c r="B20" s="11" t="s">
        <v>347</v>
      </c>
      <c r="C20" s="1">
        <v>17</v>
      </c>
    </row>
    <row r="21" spans="1:3" x14ac:dyDescent="0.25">
      <c r="B21" s="11" t="s">
        <v>457</v>
      </c>
      <c r="C21" s="1">
        <v>16</v>
      </c>
    </row>
    <row r="22" spans="1:3" x14ac:dyDescent="0.25">
      <c r="B22" s="11" t="s">
        <v>2101</v>
      </c>
      <c r="C22" s="1">
        <v>33</v>
      </c>
    </row>
    <row r="24" spans="1:3" x14ac:dyDescent="0.25">
      <c r="A24" s="11" t="s">
        <v>2153</v>
      </c>
      <c r="B24" s="12" t="s">
        <v>2107</v>
      </c>
      <c r="C24" t="s">
        <v>2156</v>
      </c>
    </row>
    <row r="25" spans="1:3" x14ac:dyDescent="0.25">
      <c r="B25" s="11" t="s">
        <v>149</v>
      </c>
      <c r="C25" s="1">
        <v>18243.2772</v>
      </c>
    </row>
    <row r="26" spans="1:3" x14ac:dyDescent="0.25">
      <c r="B26" s="11" t="s">
        <v>457</v>
      </c>
      <c r="C26" s="1">
        <v>15785.612399999998</v>
      </c>
    </row>
    <row r="27" spans="1:3" x14ac:dyDescent="0.25">
      <c r="B27" s="11" t="s">
        <v>2101</v>
      </c>
      <c r="C27" s="1">
        <v>34028.889599999995</v>
      </c>
    </row>
    <row r="30" spans="1:3" x14ac:dyDescent="0.25">
      <c r="A30" s="11" t="s">
        <v>2155</v>
      </c>
      <c r="B30">
        <f>SUM(data!AE2:AE501)</f>
        <v>364289.48999999982</v>
      </c>
      <c r="C30" t="str">
        <f ca="1">_xlfn.FORMULATEXT(B30)</f>
        <v>=SUM(data!AE2:AE501)</v>
      </c>
    </row>
    <row r="31" spans="1:3" x14ac:dyDescent="0.25">
      <c r="A31" s="11" t="s">
        <v>2154</v>
      </c>
      <c r="B31">
        <f>SUM(data!AC2:AC501)</f>
        <v>37963.730299999988</v>
      </c>
      <c r="C31" t="str">
        <f ca="1">_xlfn.FORMULATEXT(B31)</f>
        <v>=SUM(data!AC2:AC501)</v>
      </c>
    </row>
    <row r="32" spans="1:3" x14ac:dyDescent="0.25">
      <c r="A32" s="11" t="s">
        <v>2153</v>
      </c>
      <c r="B32">
        <f>SUM(data!AD2:AD501)</f>
        <v>326325.7597</v>
      </c>
      <c r="C32" t="str">
        <f ca="1">_xlfn.FORMULATEXT(B32)</f>
        <v>=SUM(data!AD2:AD501)</v>
      </c>
    </row>
    <row r="33" spans="1:3" x14ac:dyDescent="0.25">
      <c r="A33" s="11" t="s">
        <v>2152</v>
      </c>
      <c r="B33">
        <f>AVERAGE(data!AE2:AE501)</f>
        <v>728.57897999999966</v>
      </c>
    </row>
    <row r="35" spans="1:3" x14ac:dyDescent="0.25">
      <c r="A35" s="11">
        <v>2</v>
      </c>
      <c r="B35" t="s">
        <v>2151</v>
      </c>
      <c r="C35" t="str">
        <f ca="1">_xlfn.FORMULATEXT(data!W2)</f>
        <v>=DATEDIF(M2,X2,"D")</v>
      </c>
    </row>
    <row r="37" spans="1:3" x14ac:dyDescent="0.25">
      <c r="A37" s="11">
        <v>3</v>
      </c>
      <c r="B37" t="s">
        <v>2151</v>
      </c>
      <c r="C37" t="str">
        <f ca="1">_xlfn.FORMULATEXT(data!AE2)</f>
        <v>=P2*Q2</v>
      </c>
    </row>
    <row r="40" spans="1:3" x14ac:dyDescent="0.25">
      <c r="A40" s="11">
        <v>4</v>
      </c>
      <c r="B40" t="s">
        <v>2151</v>
      </c>
      <c r="C40" t="str">
        <f ca="1">_xlfn.FORMULATEXT(data!AB2)</f>
        <v>=AD2+V2</v>
      </c>
    </row>
    <row r="42" spans="1:3" x14ac:dyDescent="0.25">
      <c r="A42" s="11">
        <v>5</v>
      </c>
      <c r="B42" t="s">
        <v>2151</v>
      </c>
      <c r="C42" t="str">
        <f ca="1">_xlfn.FORMULATEXT(data!W2)</f>
        <v>=DATEDIF(M2,X2,"D")</v>
      </c>
    </row>
    <row r="44" spans="1:3" x14ac:dyDescent="0.25">
      <c r="A44" s="11">
        <v>6</v>
      </c>
      <c r="B44" t="s">
        <v>2151</v>
      </c>
      <c r="C44" t="str">
        <f ca="1">_xlfn.FORMULATEXT(data!AB2)</f>
        <v>=AD2+V2</v>
      </c>
    </row>
    <row r="46" spans="1:3" x14ac:dyDescent="0.25">
      <c r="A46" s="11">
        <v>7</v>
      </c>
      <c r="B46" t="s">
        <v>2151</v>
      </c>
      <c r="C46" t="str">
        <f ca="1">_xlfn.FORMULATEXT(data!B2)</f>
        <v>=CONCATENATE(C2," ", D2," ")</v>
      </c>
    </row>
    <row r="48" spans="1:3" x14ac:dyDescent="0.25">
      <c r="A48" s="11">
        <v>8</v>
      </c>
      <c r="B48" t="s">
        <v>2151</v>
      </c>
      <c r="C48" t="str">
        <f ca="1">_xlfn.FORMULATEXT(data!U2)</f>
        <v>=IF(W2&lt;T2,"Before_time",IF(W2&gt;T2,"Late_Delivery","On_time"))</v>
      </c>
    </row>
    <row r="51" spans="1:4" ht="25.5" customHeight="1" x14ac:dyDescent="0.25">
      <c r="A51" s="11" t="s">
        <v>2150</v>
      </c>
      <c r="B51" s="12" t="s">
        <v>2107</v>
      </c>
      <c r="C51" t="s">
        <v>2136</v>
      </c>
    </row>
    <row r="52" spans="1:4" x14ac:dyDescent="0.25">
      <c r="B52" s="11" t="s">
        <v>2149</v>
      </c>
      <c r="C52" s="1">
        <v>12608.678899999999</v>
      </c>
    </row>
    <row r="53" spans="1:4" x14ac:dyDescent="0.25">
      <c r="B53" s="11" t="s">
        <v>2148</v>
      </c>
      <c r="C53" s="1">
        <v>7925.4582999999993</v>
      </c>
    </row>
    <row r="54" spans="1:4" x14ac:dyDescent="0.25">
      <c r="B54" s="11" t="s">
        <v>2147</v>
      </c>
      <c r="C54" s="1">
        <v>7501.7187000000004</v>
      </c>
    </row>
    <row r="55" spans="1:4" x14ac:dyDescent="0.25">
      <c r="B55" s="11" t="s">
        <v>2146</v>
      </c>
      <c r="C55" s="1">
        <v>7005.563799999999</v>
      </c>
    </row>
    <row r="56" spans="1:4" x14ac:dyDescent="0.25">
      <c r="B56" s="11" t="s">
        <v>2145</v>
      </c>
      <c r="C56" s="1">
        <v>6570.0677999999998</v>
      </c>
    </row>
    <row r="57" spans="1:4" x14ac:dyDescent="0.25">
      <c r="B57" s="11" t="s">
        <v>2144</v>
      </c>
      <c r="C57" s="1">
        <v>6417.0841000000009</v>
      </c>
    </row>
    <row r="58" spans="1:4" x14ac:dyDescent="0.25">
      <c r="B58" s="11" t="s">
        <v>2143</v>
      </c>
      <c r="C58" s="1">
        <v>6372.2736999999997</v>
      </c>
    </row>
    <row r="59" spans="1:4" x14ac:dyDescent="0.25">
      <c r="B59" s="11" t="s">
        <v>2142</v>
      </c>
      <c r="C59" s="1">
        <v>6360.2684000000008</v>
      </c>
    </row>
    <row r="60" spans="1:4" x14ac:dyDescent="0.25">
      <c r="B60" s="11" t="s">
        <v>2141</v>
      </c>
      <c r="C60" s="1">
        <v>6311.1846000000005</v>
      </c>
    </row>
    <row r="61" spans="1:4" x14ac:dyDescent="0.25">
      <c r="B61" s="11" t="s">
        <v>2140</v>
      </c>
      <c r="C61" s="1">
        <v>6128.3071999999993</v>
      </c>
    </row>
    <row r="62" spans="1:4" x14ac:dyDescent="0.25">
      <c r="B62" s="11" t="s">
        <v>2101</v>
      </c>
      <c r="C62" s="1">
        <v>73200.605500000005</v>
      </c>
    </row>
    <row r="64" spans="1:4" ht="15.75" customHeight="1" x14ac:dyDescent="0.25">
      <c r="A64" s="11">
        <v>2</v>
      </c>
      <c r="B64" s="12" t="s">
        <v>2107</v>
      </c>
      <c r="C64" t="s">
        <v>2139</v>
      </c>
      <c r="D64" t="s">
        <v>2138</v>
      </c>
    </row>
    <row r="65" spans="2:4" x14ac:dyDescent="0.25">
      <c r="B65" s="11" t="s">
        <v>426</v>
      </c>
      <c r="C65" s="1">
        <v>11</v>
      </c>
      <c r="D65" s="15">
        <v>2.1999999999999999E-2</v>
      </c>
    </row>
    <row r="66" spans="2:4" x14ac:dyDescent="0.25">
      <c r="B66" s="11" t="s">
        <v>123</v>
      </c>
      <c r="C66" s="1">
        <v>14</v>
      </c>
      <c r="D66" s="15">
        <v>2.8000000000000001E-2</v>
      </c>
    </row>
    <row r="67" spans="2:4" x14ac:dyDescent="0.25">
      <c r="B67" s="11" t="s">
        <v>65</v>
      </c>
      <c r="C67" s="1">
        <v>12</v>
      </c>
      <c r="D67" s="15">
        <v>2.4E-2</v>
      </c>
    </row>
    <row r="68" spans="2:4" x14ac:dyDescent="0.25">
      <c r="B68" s="11" t="s">
        <v>264</v>
      </c>
      <c r="C68" s="1">
        <v>11</v>
      </c>
      <c r="D68" s="15">
        <v>2.1999999999999999E-2</v>
      </c>
    </row>
    <row r="69" spans="2:4" x14ac:dyDescent="0.25">
      <c r="B69" s="11" t="s">
        <v>281</v>
      </c>
      <c r="C69" s="1">
        <v>8</v>
      </c>
      <c r="D69" s="15">
        <v>1.6E-2</v>
      </c>
    </row>
    <row r="70" spans="2:4" x14ac:dyDescent="0.25">
      <c r="B70" s="11" t="s">
        <v>199</v>
      </c>
      <c r="C70" s="1">
        <v>8</v>
      </c>
      <c r="D70" s="15">
        <v>1.6E-2</v>
      </c>
    </row>
    <row r="71" spans="2:4" x14ac:dyDescent="0.25">
      <c r="B71" s="11" t="s">
        <v>343</v>
      </c>
      <c r="C71" s="1">
        <v>11</v>
      </c>
      <c r="D71" s="15">
        <v>2.1999999999999999E-2</v>
      </c>
    </row>
    <row r="72" spans="2:4" x14ac:dyDescent="0.25">
      <c r="B72" s="11" t="s">
        <v>220</v>
      </c>
      <c r="C72" s="1">
        <v>7</v>
      </c>
      <c r="D72" s="15">
        <v>1.4E-2</v>
      </c>
    </row>
    <row r="73" spans="2:4" x14ac:dyDescent="0.25">
      <c r="B73" s="11" t="s">
        <v>245</v>
      </c>
      <c r="C73" s="1">
        <v>7</v>
      </c>
      <c r="D73" s="15">
        <v>1.4E-2</v>
      </c>
    </row>
    <row r="74" spans="2:4" x14ac:dyDescent="0.25">
      <c r="B74" s="11" t="s">
        <v>2</v>
      </c>
      <c r="C74" s="1">
        <v>9</v>
      </c>
      <c r="D74" s="15">
        <v>1.7999999999999999E-2</v>
      </c>
    </row>
    <row r="75" spans="2:4" x14ac:dyDescent="0.25">
      <c r="B75" s="11" t="s">
        <v>600</v>
      </c>
      <c r="C75" s="1">
        <v>6</v>
      </c>
      <c r="D75" s="15">
        <v>1.2E-2</v>
      </c>
    </row>
    <row r="76" spans="2:4" x14ac:dyDescent="0.25">
      <c r="B76" s="11" t="s">
        <v>224</v>
      </c>
      <c r="C76" s="1">
        <v>9</v>
      </c>
      <c r="D76" s="15">
        <v>1.7999999999999999E-2</v>
      </c>
    </row>
    <row r="77" spans="2:4" x14ac:dyDescent="0.25">
      <c r="B77" s="11" t="s">
        <v>299</v>
      </c>
      <c r="C77" s="1">
        <v>13</v>
      </c>
      <c r="D77" s="15">
        <v>2.5999999999999999E-2</v>
      </c>
    </row>
    <row r="78" spans="2:4" x14ac:dyDescent="0.25">
      <c r="B78" s="11" t="s">
        <v>23</v>
      </c>
      <c r="C78" s="1">
        <v>12</v>
      </c>
      <c r="D78" s="15">
        <v>2.4E-2</v>
      </c>
    </row>
    <row r="79" spans="2:4" x14ac:dyDescent="0.25">
      <c r="B79" s="11" t="s">
        <v>211</v>
      </c>
      <c r="C79" s="1">
        <v>8</v>
      </c>
      <c r="D79" s="15">
        <v>1.6E-2</v>
      </c>
    </row>
    <row r="80" spans="2:4" x14ac:dyDescent="0.25">
      <c r="B80" s="11" t="s">
        <v>470</v>
      </c>
      <c r="C80" s="1">
        <v>9</v>
      </c>
      <c r="D80" s="15">
        <v>1.7999999999999999E-2</v>
      </c>
    </row>
    <row r="81" spans="2:4" x14ac:dyDescent="0.25">
      <c r="B81" s="11" t="s">
        <v>494</v>
      </c>
      <c r="C81" s="1">
        <v>13</v>
      </c>
      <c r="D81" s="15">
        <v>2.5999999999999999E-2</v>
      </c>
    </row>
    <row r="82" spans="2:4" x14ac:dyDescent="0.25">
      <c r="B82" s="11" t="s">
        <v>84</v>
      </c>
      <c r="C82" s="1">
        <v>15</v>
      </c>
      <c r="D82" s="15">
        <v>0.03</v>
      </c>
    </row>
    <row r="83" spans="2:4" x14ac:dyDescent="0.25">
      <c r="B83" s="11" t="s">
        <v>396</v>
      </c>
      <c r="C83" s="1">
        <v>6</v>
      </c>
      <c r="D83" s="15">
        <v>1.2E-2</v>
      </c>
    </row>
    <row r="84" spans="2:4" x14ac:dyDescent="0.25">
      <c r="B84" s="11" t="s">
        <v>303</v>
      </c>
      <c r="C84" s="1">
        <v>8</v>
      </c>
      <c r="D84" s="15">
        <v>1.6E-2</v>
      </c>
    </row>
    <row r="85" spans="2:4" x14ac:dyDescent="0.25">
      <c r="B85" s="11" t="s">
        <v>74</v>
      </c>
      <c r="C85" s="1">
        <v>11</v>
      </c>
      <c r="D85" s="15">
        <v>2.1999999999999999E-2</v>
      </c>
    </row>
    <row r="86" spans="2:4" x14ac:dyDescent="0.25">
      <c r="B86" s="11" t="s">
        <v>140</v>
      </c>
      <c r="C86" s="1">
        <v>10</v>
      </c>
      <c r="D86" s="15">
        <v>0.02</v>
      </c>
    </row>
    <row r="87" spans="2:4" x14ac:dyDescent="0.25">
      <c r="B87" s="11" t="s">
        <v>569</v>
      </c>
      <c r="C87" s="1">
        <v>7</v>
      </c>
      <c r="D87" s="15">
        <v>1.4E-2</v>
      </c>
    </row>
    <row r="88" spans="2:4" x14ac:dyDescent="0.25">
      <c r="B88" s="11" t="s">
        <v>466</v>
      </c>
      <c r="C88" s="1">
        <v>12</v>
      </c>
      <c r="D88" s="15">
        <v>2.4E-2</v>
      </c>
    </row>
    <row r="89" spans="2:4" x14ac:dyDescent="0.25">
      <c r="B89" s="11" t="s">
        <v>273</v>
      </c>
      <c r="C89" s="1">
        <v>11</v>
      </c>
      <c r="D89" s="15">
        <v>2.1999999999999999E-2</v>
      </c>
    </row>
    <row r="90" spans="2:4" x14ac:dyDescent="0.25">
      <c r="B90" s="11" t="s">
        <v>35</v>
      </c>
      <c r="C90" s="1">
        <v>10</v>
      </c>
      <c r="D90" s="15">
        <v>0.02</v>
      </c>
    </row>
    <row r="91" spans="2:4" x14ac:dyDescent="0.25">
      <c r="B91" s="11" t="s">
        <v>149</v>
      </c>
      <c r="C91" s="1">
        <v>15</v>
      </c>
      <c r="D91" s="15">
        <v>0.03</v>
      </c>
    </row>
    <row r="92" spans="2:4" x14ac:dyDescent="0.25">
      <c r="B92" s="11" t="s">
        <v>582</v>
      </c>
      <c r="C92" s="1">
        <v>8</v>
      </c>
      <c r="D92" s="15">
        <v>1.6E-2</v>
      </c>
    </row>
    <row r="93" spans="2:4" x14ac:dyDescent="0.25">
      <c r="B93" s="11" t="s">
        <v>312</v>
      </c>
      <c r="C93" s="1">
        <v>9</v>
      </c>
      <c r="D93" s="15">
        <v>1.7999999999999999E-2</v>
      </c>
    </row>
    <row r="94" spans="2:4" x14ac:dyDescent="0.25">
      <c r="B94" s="11" t="s">
        <v>615</v>
      </c>
      <c r="C94" s="1">
        <v>8</v>
      </c>
      <c r="D94" s="15">
        <v>1.6E-2</v>
      </c>
    </row>
    <row r="95" spans="2:4" x14ac:dyDescent="0.25">
      <c r="B95" s="11" t="s">
        <v>181</v>
      </c>
      <c r="C95" s="1">
        <v>9</v>
      </c>
      <c r="D95" s="15">
        <v>1.7999999999999999E-2</v>
      </c>
    </row>
    <row r="96" spans="2:4" x14ac:dyDescent="0.25">
      <c r="B96" s="11" t="s">
        <v>13</v>
      </c>
      <c r="C96" s="1">
        <v>9</v>
      </c>
      <c r="D96" s="15">
        <v>1.7999999999999999E-2</v>
      </c>
    </row>
    <row r="97" spans="2:4" x14ac:dyDescent="0.25">
      <c r="B97" s="11" t="s">
        <v>131</v>
      </c>
      <c r="C97" s="1">
        <v>12</v>
      </c>
      <c r="D97" s="15">
        <v>2.4E-2</v>
      </c>
    </row>
    <row r="98" spans="2:4" x14ac:dyDescent="0.25">
      <c r="B98" s="11" t="s">
        <v>729</v>
      </c>
      <c r="C98" s="1">
        <v>6</v>
      </c>
      <c r="D98" s="15">
        <v>1.2E-2</v>
      </c>
    </row>
    <row r="99" spans="2:4" x14ac:dyDescent="0.25">
      <c r="B99" s="11" t="s">
        <v>45</v>
      </c>
      <c r="C99" s="1">
        <v>7</v>
      </c>
      <c r="D99" s="15">
        <v>1.4E-2</v>
      </c>
    </row>
    <row r="100" spans="2:4" x14ac:dyDescent="0.25">
      <c r="B100" s="11" t="s">
        <v>347</v>
      </c>
      <c r="C100" s="1">
        <v>17</v>
      </c>
      <c r="D100" s="15">
        <v>3.4000000000000002E-2</v>
      </c>
    </row>
    <row r="101" spans="2:4" x14ac:dyDescent="0.25">
      <c r="B101" s="11" t="s">
        <v>233</v>
      </c>
      <c r="C101" s="1">
        <v>6</v>
      </c>
      <c r="D101" s="15">
        <v>1.2E-2</v>
      </c>
    </row>
    <row r="102" spans="2:4" x14ac:dyDescent="0.25">
      <c r="B102" s="11" t="s">
        <v>667</v>
      </c>
      <c r="C102" s="1">
        <v>11</v>
      </c>
      <c r="D102" s="15">
        <v>2.1999999999999999E-2</v>
      </c>
    </row>
    <row r="103" spans="2:4" x14ac:dyDescent="0.25">
      <c r="B103" s="11" t="s">
        <v>54</v>
      </c>
      <c r="C103" s="1">
        <v>8</v>
      </c>
      <c r="D103" s="15">
        <v>1.6E-2</v>
      </c>
    </row>
    <row r="104" spans="2:4" x14ac:dyDescent="0.25">
      <c r="B104" s="11" t="s">
        <v>1166</v>
      </c>
      <c r="C104" s="1">
        <v>6</v>
      </c>
      <c r="D104" s="15">
        <v>1.2E-2</v>
      </c>
    </row>
    <row r="105" spans="2:4" x14ac:dyDescent="0.25">
      <c r="B105" s="11" t="s">
        <v>290</v>
      </c>
      <c r="C105" s="1">
        <v>14</v>
      </c>
      <c r="D105" s="15">
        <v>2.8000000000000001E-2</v>
      </c>
    </row>
    <row r="106" spans="2:4" x14ac:dyDescent="0.25">
      <c r="B106" s="11" t="s">
        <v>714</v>
      </c>
      <c r="C106" s="1">
        <v>9</v>
      </c>
      <c r="D106" s="15">
        <v>1.7999999999999999E-2</v>
      </c>
    </row>
    <row r="107" spans="2:4" x14ac:dyDescent="0.25">
      <c r="B107" s="11" t="s">
        <v>361</v>
      </c>
      <c r="C107" s="1">
        <v>12</v>
      </c>
      <c r="D107" s="15">
        <v>2.4E-2</v>
      </c>
    </row>
    <row r="108" spans="2:4" x14ac:dyDescent="0.25">
      <c r="B108" s="11" t="s">
        <v>531</v>
      </c>
      <c r="C108" s="1">
        <v>8</v>
      </c>
      <c r="D108" s="15">
        <v>1.6E-2</v>
      </c>
    </row>
    <row r="109" spans="2:4" x14ac:dyDescent="0.25">
      <c r="B109" s="11" t="s">
        <v>94</v>
      </c>
      <c r="C109" s="1">
        <v>12</v>
      </c>
      <c r="D109" s="15">
        <v>2.4E-2</v>
      </c>
    </row>
    <row r="110" spans="2:4" x14ac:dyDescent="0.25">
      <c r="B110" s="11" t="s">
        <v>457</v>
      </c>
      <c r="C110" s="1">
        <v>16</v>
      </c>
      <c r="D110" s="15">
        <v>3.2000000000000001E-2</v>
      </c>
    </row>
    <row r="111" spans="2:4" x14ac:dyDescent="0.25">
      <c r="B111" s="11" t="s">
        <v>644</v>
      </c>
      <c r="C111" s="1">
        <v>7</v>
      </c>
      <c r="D111" s="15">
        <v>1.4E-2</v>
      </c>
    </row>
    <row r="112" spans="2:4" x14ac:dyDescent="0.25">
      <c r="B112" s="11" t="s">
        <v>519</v>
      </c>
      <c r="C112" s="1">
        <v>15</v>
      </c>
      <c r="D112" s="15">
        <v>0.03</v>
      </c>
    </row>
    <row r="113" spans="1:4" x14ac:dyDescent="0.25">
      <c r="B113" s="11" t="s">
        <v>113</v>
      </c>
      <c r="C113" s="1">
        <v>9</v>
      </c>
      <c r="D113" s="15">
        <v>1.7999999999999999E-2</v>
      </c>
    </row>
    <row r="114" spans="1:4" x14ac:dyDescent="0.25">
      <c r="B114" s="11" t="s">
        <v>190</v>
      </c>
      <c r="C114" s="1">
        <v>9</v>
      </c>
      <c r="D114" s="15">
        <v>1.7999999999999999E-2</v>
      </c>
    </row>
    <row r="115" spans="1:4" x14ac:dyDescent="0.25">
      <c r="B115" s="11" t="s">
        <v>2101</v>
      </c>
      <c r="C115" s="1">
        <v>500</v>
      </c>
      <c r="D115" s="15">
        <v>1</v>
      </c>
    </row>
    <row r="118" spans="1:4" x14ac:dyDescent="0.25">
      <c r="A118" s="11">
        <v>3</v>
      </c>
      <c r="B118" s="12" t="s">
        <v>2107</v>
      </c>
      <c r="C118" t="s">
        <v>2137</v>
      </c>
    </row>
    <row r="119" spans="1:4" x14ac:dyDescent="0.25">
      <c r="B119" s="11" t="s">
        <v>40</v>
      </c>
      <c r="C119" s="1">
        <v>51</v>
      </c>
    </row>
    <row r="120" spans="1:4" x14ac:dyDescent="0.25">
      <c r="B120" s="11" t="s">
        <v>18</v>
      </c>
      <c r="C120" s="1">
        <v>64</v>
      </c>
    </row>
    <row r="121" spans="1:4" x14ac:dyDescent="0.25">
      <c r="B121" s="11" t="s">
        <v>7</v>
      </c>
      <c r="C121" s="1">
        <v>80</v>
      </c>
    </row>
    <row r="122" spans="1:4" x14ac:dyDescent="0.25">
      <c r="B122" s="11" t="s">
        <v>118</v>
      </c>
      <c r="C122" s="1">
        <v>72</v>
      </c>
    </row>
    <row r="123" spans="1:4" x14ac:dyDescent="0.25">
      <c r="B123" s="11" t="s">
        <v>59</v>
      </c>
      <c r="C123" s="1">
        <v>44</v>
      </c>
    </row>
    <row r="124" spans="1:4" x14ac:dyDescent="0.25">
      <c r="B124" s="11" t="s">
        <v>28</v>
      </c>
      <c r="C124" s="1">
        <v>51</v>
      </c>
    </row>
    <row r="125" spans="1:4" x14ac:dyDescent="0.25">
      <c r="B125" s="11" t="s">
        <v>107</v>
      </c>
      <c r="C125" s="1">
        <v>66</v>
      </c>
    </row>
    <row r="126" spans="1:4" x14ac:dyDescent="0.25">
      <c r="B126" s="11" t="s">
        <v>79</v>
      </c>
      <c r="C126" s="1">
        <v>72</v>
      </c>
    </row>
    <row r="127" spans="1:4" x14ac:dyDescent="0.25">
      <c r="B127" s="11" t="s">
        <v>2101</v>
      </c>
      <c r="C127" s="1">
        <v>500</v>
      </c>
    </row>
    <row r="132" spans="1:6" x14ac:dyDescent="0.25">
      <c r="A132" s="11">
        <v>4</v>
      </c>
      <c r="B132" s="12" t="s">
        <v>2107</v>
      </c>
      <c r="C132" t="s">
        <v>2136</v>
      </c>
    </row>
    <row r="133" spans="1:6" x14ac:dyDescent="0.25">
      <c r="B133" s="11" t="s">
        <v>59</v>
      </c>
      <c r="C133" s="1">
        <v>22993.065300000002</v>
      </c>
    </row>
    <row r="134" spans="1:6" x14ac:dyDescent="0.25">
      <c r="B134" s="11" t="s">
        <v>40</v>
      </c>
      <c r="C134" s="1">
        <v>31234.737000000005</v>
      </c>
    </row>
    <row r="135" spans="1:6" x14ac:dyDescent="0.25">
      <c r="B135" s="11" t="s">
        <v>28</v>
      </c>
      <c r="C135" s="1">
        <v>37681.197500000002</v>
      </c>
    </row>
    <row r="136" spans="1:6" x14ac:dyDescent="0.25">
      <c r="B136" s="11" t="s">
        <v>107</v>
      </c>
      <c r="C136" s="1">
        <v>42894.425800000005</v>
      </c>
    </row>
    <row r="137" spans="1:6" x14ac:dyDescent="0.25">
      <c r="B137" s="11" t="s">
        <v>18</v>
      </c>
      <c r="C137" s="1">
        <v>43454.757000000012</v>
      </c>
    </row>
    <row r="138" spans="1:6" x14ac:dyDescent="0.25">
      <c r="B138" s="11" t="s">
        <v>118</v>
      </c>
      <c r="C138" s="1">
        <v>44547.305899999999</v>
      </c>
    </row>
    <row r="139" spans="1:6" x14ac:dyDescent="0.25">
      <c r="B139" s="11" t="s">
        <v>79</v>
      </c>
      <c r="C139" s="1">
        <v>46784.460799999993</v>
      </c>
    </row>
    <row r="140" spans="1:6" x14ac:dyDescent="0.25">
      <c r="B140" s="11" t="s">
        <v>7</v>
      </c>
      <c r="C140" s="1">
        <v>56735.810399999995</v>
      </c>
    </row>
    <row r="141" spans="1:6" x14ac:dyDescent="0.25">
      <c r="B141" s="11" t="s">
        <v>2101</v>
      </c>
      <c r="C141" s="1">
        <v>326325.75970000005</v>
      </c>
    </row>
    <row r="144" spans="1:6" x14ac:dyDescent="0.25">
      <c r="A144" s="11">
        <v>5</v>
      </c>
      <c r="B144" s="12" t="s">
        <v>2135</v>
      </c>
      <c r="C144" t="s">
        <v>2134</v>
      </c>
      <c r="E144" s="12" t="s">
        <v>2133</v>
      </c>
      <c r="F144" t="s">
        <v>2132</v>
      </c>
    </row>
    <row r="145" spans="1:6" x14ac:dyDescent="0.25">
      <c r="B145" s="11" t="s">
        <v>149</v>
      </c>
      <c r="C145" s="1">
        <v>20222.16</v>
      </c>
      <c r="E145" s="11" t="s">
        <v>531</v>
      </c>
      <c r="F145" s="1">
        <v>480</v>
      </c>
    </row>
    <row r="146" spans="1:6" x14ac:dyDescent="0.25">
      <c r="B146" s="11" t="s">
        <v>457</v>
      </c>
      <c r="C146" s="1">
        <v>17454.72</v>
      </c>
      <c r="E146" s="11" t="s">
        <v>65</v>
      </c>
      <c r="F146" s="1">
        <v>724.5</v>
      </c>
    </row>
    <row r="147" spans="1:6" x14ac:dyDescent="0.25">
      <c r="B147" s="11" t="s">
        <v>264</v>
      </c>
      <c r="C147" s="1">
        <v>16884.060000000001</v>
      </c>
      <c r="E147" s="11" t="s">
        <v>94</v>
      </c>
      <c r="F147" s="1">
        <v>1038.19</v>
      </c>
    </row>
    <row r="148" spans="1:6" x14ac:dyDescent="0.25">
      <c r="B148" s="11" t="s">
        <v>494</v>
      </c>
      <c r="C148" s="1">
        <v>16172.420000000002</v>
      </c>
      <c r="E148" s="11" t="s">
        <v>2</v>
      </c>
      <c r="F148" s="1">
        <v>1201.5</v>
      </c>
    </row>
    <row r="149" spans="1:6" x14ac:dyDescent="0.25">
      <c r="B149" s="11" t="s">
        <v>667</v>
      </c>
      <c r="C149" s="1">
        <v>15602.9</v>
      </c>
      <c r="E149" s="11" t="s">
        <v>131</v>
      </c>
      <c r="F149" s="1">
        <v>1356.6000000000004</v>
      </c>
    </row>
    <row r="150" spans="1:6" x14ac:dyDescent="0.25">
      <c r="B150" s="11" t="s">
        <v>2101</v>
      </c>
      <c r="C150" s="1">
        <v>86336.26</v>
      </c>
      <c r="E150" s="11" t="s">
        <v>2101</v>
      </c>
      <c r="F150" s="1">
        <v>4800.7900000000009</v>
      </c>
    </row>
    <row r="153" spans="1:6" x14ac:dyDescent="0.25">
      <c r="A153" s="11">
        <v>6</v>
      </c>
      <c r="B153" s="12" t="s">
        <v>2131</v>
      </c>
      <c r="C153" t="s">
        <v>2130</v>
      </c>
    </row>
    <row r="154" spans="1:6" x14ac:dyDescent="0.25">
      <c r="B154" s="14">
        <v>0</v>
      </c>
      <c r="C154" s="1">
        <v>102</v>
      </c>
    </row>
    <row r="155" spans="1:6" x14ac:dyDescent="0.25">
      <c r="B155" s="14">
        <v>8</v>
      </c>
      <c r="C155" s="1">
        <v>111</v>
      </c>
    </row>
    <row r="156" spans="1:6" x14ac:dyDescent="0.25">
      <c r="B156" s="14">
        <v>10</v>
      </c>
      <c r="C156" s="1">
        <v>100</v>
      </c>
    </row>
    <row r="157" spans="1:6" x14ac:dyDescent="0.25">
      <c r="B157" s="14">
        <v>15</v>
      </c>
      <c r="C157" s="1">
        <v>83</v>
      </c>
    </row>
    <row r="158" spans="1:6" x14ac:dyDescent="0.25">
      <c r="B158" s="14">
        <v>20</v>
      </c>
      <c r="C158" s="1">
        <v>104</v>
      </c>
    </row>
    <row r="159" spans="1:6" x14ac:dyDescent="0.25">
      <c r="B159" s="14" t="s">
        <v>2101</v>
      </c>
      <c r="C159" s="1">
        <v>500</v>
      </c>
    </row>
    <row r="172" spans="1:3" x14ac:dyDescent="0.25">
      <c r="A172" s="11">
        <v>7</v>
      </c>
      <c r="B172" s="12" t="s">
        <v>2107</v>
      </c>
      <c r="C172" t="s">
        <v>2129</v>
      </c>
    </row>
    <row r="173" spans="1:3" x14ac:dyDescent="0.25">
      <c r="B173" s="11" t="s">
        <v>2128</v>
      </c>
      <c r="C173" s="1">
        <v>196</v>
      </c>
    </row>
    <row r="174" spans="1:3" x14ac:dyDescent="0.25">
      <c r="B174" s="11" t="s">
        <v>2127</v>
      </c>
      <c r="C174" s="1">
        <v>129</v>
      </c>
    </row>
    <row r="175" spans="1:3" x14ac:dyDescent="0.25">
      <c r="B175" s="11" t="s">
        <v>2126</v>
      </c>
      <c r="C175" s="1">
        <v>115</v>
      </c>
    </row>
    <row r="176" spans="1:3" x14ac:dyDescent="0.25">
      <c r="B176" s="11" t="s">
        <v>2125</v>
      </c>
      <c r="C176" s="1">
        <v>60</v>
      </c>
    </row>
    <row r="177" spans="1:3" x14ac:dyDescent="0.25">
      <c r="B177" s="11" t="s">
        <v>2101</v>
      </c>
      <c r="C177" s="1">
        <v>500</v>
      </c>
    </row>
    <row r="189" spans="1:3" x14ac:dyDescent="0.25">
      <c r="A189" s="11">
        <v>8</v>
      </c>
      <c r="B189" s="12" t="s">
        <v>2124</v>
      </c>
      <c r="C189" t="s">
        <v>2123</v>
      </c>
    </row>
    <row r="190" spans="1:3" x14ac:dyDescent="0.25">
      <c r="B190" s="11" t="s">
        <v>2119</v>
      </c>
      <c r="C190" s="1">
        <v>33057.129999999997</v>
      </c>
    </row>
    <row r="191" spans="1:3" x14ac:dyDescent="0.25">
      <c r="B191" s="13" t="s">
        <v>29</v>
      </c>
      <c r="C191" s="1">
        <v>8460.73</v>
      </c>
    </row>
    <row r="192" spans="1:3" x14ac:dyDescent="0.25">
      <c r="B192" s="13" t="s">
        <v>108</v>
      </c>
      <c r="C192" s="1">
        <v>8067.62</v>
      </c>
    </row>
    <row r="193" spans="2:3" x14ac:dyDescent="0.25">
      <c r="B193" s="13" t="s">
        <v>8</v>
      </c>
      <c r="C193" s="1">
        <v>16528.78</v>
      </c>
    </row>
    <row r="194" spans="2:3" x14ac:dyDescent="0.25">
      <c r="B194" s="11" t="s">
        <v>2118</v>
      </c>
      <c r="C194" s="1">
        <v>23917.89</v>
      </c>
    </row>
    <row r="195" spans="2:3" x14ac:dyDescent="0.25">
      <c r="B195" s="13" t="s">
        <v>29</v>
      </c>
      <c r="C195" s="1">
        <v>8741.61</v>
      </c>
    </row>
    <row r="196" spans="2:3" x14ac:dyDescent="0.25">
      <c r="B196" s="13" t="s">
        <v>108</v>
      </c>
      <c r="C196" s="1">
        <v>5511.82</v>
      </c>
    </row>
    <row r="197" spans="2:3" x14ac:dyDescent="0.25">
      <c r="B197" s="13" t="s">
        <v>8</v>
      </c>
      <c r="C197" s="1">
        <v>9664.4599999999991</v>
      </c>
    </row>
    <row r="198" spans="2:3" x14ac:dyDescent="0.25">
      <c r="B198" s="11" t="s">
        <v>2117</v>
      </c>
      <c r="C198" s="1">
        <v>28795.9</v>
      </c>
    </row>
    <row r="199" spans="2:3" x14ac:dyDescent="0.25">
      <c r="B199" s="13" t="s">
        <v>29</v>
      </c>
      <c r="C199" s="1">
        <v>8470.24</v>
      </c>
    </row>
    <row r="200" spans="2:3" x14ac:dyDescent="0.25">
      <c r="B200" s="13" t="s">
        <v>108</v>
      </c>
      <c r="C200" s="1">
        <v>10922.08</v>
      </c>
    </row>
    <row r="201" spans="2:3" x14ac:dyDescent="0.25">
      <c r="B201" s="13" t="s">
        <v>8</v>
      </c>
      <c r="C201" s="1">
        <v>9403.5800000000017</v>
      </c>
    </row>
    <row r="202" spans="2:3" x14ac:dyDescent="0.25">
      <c r="B202" s="11" t="s">
        <v>2116</v>
      </c>
      <c r="C202" s="1">
        <v>42641.710000000006</v>
      </c>
    </row>
    <row r="203" spans="2:3" x14ac:dyDescent="0.25">
      <c r="B203" s="13" t="s">
        <v>29</v>
      </c>
      <c r="C203" s="1">
        <v>20956.550000000003</v>
      </c>
    </row>
    <row r="204" spans="2:3" x14ac:dyDescent="0.25">
      <c r="B204" s="13" t="s">
        <v>108</v>
      </c>
      <c r="C204" s="1">
        <v>10039.869999999999</v>
      </c>
    </row>
    <row r="205" spans="2:3" x14ac:dyDescent="0.25">
      <c r="B205" s="13" t="s">
        <v>8</v>
      </c>
      <c r="C205" s="1">
        <v>11645.29</v>
      </c>
    </row>
    <row r="206" spans="2:3" x14ac:dyDescent="0.25">
      <c r="B206" s="11" t="s">
        <v>2115</v>
      </c>
      <c r="C206" s="1">
        <v>22405.13</v>
      </c>
    </row>
    <row r="207" spans="2:3" x14ac:dyDescent="0.25">
      <c r="B207" s="13" t="s">
        <v>29</v>
      </c>
      <c r="C207" s="1">
        <v>3015.85</v>
      </c>
    </row>
    <row r="208" spans="2:3" x14ac:dyDescent="0.25">
      <c r="B208" s="13" t="s">
        <v>108</v>
      </c>
      <c r="C208" s="1">
        <v>9543.0600000000013</v>
      </c>
    </row>
    <row r="209" spans="2:3" x14ac:dyDescent="0.25">
      <c r="B209" s="13" t="s">
        <v>8</v>
      </c>
      <c r="C209" s="1">
        <v>9846.2199999999993</v>
      </c>
    </row>
    <row r="210" spans="2:3" x14ac:dyDescent="0.25">
      <c r="B210" s="11" t="s">
        <v>2114</v>
      </c>
      <c r="C210" s="1">
        <v>28292.320000000003</v>
      </c>
    </row>
    <row r="211" spans="2:3" x14ac:dyDescent="0.25">
      <c r="B211" s="13" t="s">
        <v>29</v>
      </c>
      <c r="C211" s="1">
        <v>10602.32</v>
      </c>
    </row>
    <row r="212" spans="2:3" x14ac:dyDescent="0.25">
      <c r="B212" s="13" t="s">
        <v>108</v>
      </c>
      <c r="C212" s="1">
        <v>8094.01</v>
      </c>
    </row>
    <row r="213" spans="2:3" x14ac:dyDescent="0.25">
      <c r="B213" s="13" t="s">
        <v>8</v>
      </c>
      <c r="C213" s="1">
        <v>9595.9900000000016</v>
      </c>
    </row>
    <row r="214" spans="2:3" x14ac:dyDescent="0.25">
      <c r="B214" s="11" t="s">
        <v>2113</v>
      </c>
      <c r="C214" s="1">
        <v>43112.91</v>
      </c>
    </row>
    <row r="215" spans="2:3" x14ac:dyDescent="0.25">
      <c r="B215" s="13" t="s">
        <v>29</v>
      </c>
      <c r="C215" s="1">
        <v>9599.76</v>
      </c>
    </row>
    <row r="216" spans="2:3" x14ac:dyDescent="0.25">
      <c r="B216" s="13" t="s">
        <v>108</v>
      </c>
      <c r="C216" s="1">
        <v>14880.150000000003</v>
      </c>
    </row>
    <row r="217" spans="2:3" x14ac:dyDescent="0.25">
      <c r="B217" s="13" t="s">
        <v>8</v>
      </c>
      <c r="C217" s="1">
        <v>18632.999999999996</v>
      </c>
    </row>
    <row r="218" spans="2:3" x14ac:dyDescent="0.25">
      <c r="B218" s="11" t="s">
        <v>2112</v>
      </c>
      <c r="C218" s="1">
        <v>32279.660000000003</v>
      </c>
    </row>
    <row r="219" spans="2:3" x14ac:dyDescent="0.25">
      <c r="B219" s="13" t="s">
        <v>29</v>
      </c>
      <c r="C219" s="1">
        <v>8724.0300000000007</v>
      </c>
    </row>
    <row r="220" spans="2:3" x14ac:dyDescent="0.25">
      <c r="B220" s="13" t="s">
        <v>108</v>
      </c>
      <c r="C220" s="1">
        <v>12268.730000000001</v>
      </c>
    </row>
    <row r="221" spans="2:3" x14ac:dyDescent="0.25">
      <c r="B221" s="13" t="s">
        <v>8</v>
      </c>
      <c r="C221" s="1">
        <v>11286.9</v>
      </c>
    </row>
    <row r="222" spans="2:3" x14ac:dyDescent="0.25">
      <c r="B222" s="11" t="s">
        <v>2111</v>
      </c>
      <c r="C222" s="1">
        <v>29061.469999999998</v>
      </c>
    </row>
    <row r="223" spans="2:3" x14ac:dyDescent="0.25">
      <c r="B223" s="13" t="s">
        <v>29</v>
      </c>
      <c r="C223" s="1">
        <v>8043.9000000000005</v>
      </c>
    </row>
    <row r="224" spans="2:3" x14ac:dyDescent="0.25">
      <c r="B224" s="13" t="s">
        <v>108</v>
      </c>
      <c r="C224" s="1">
        <v>10482.99</v>
      </c>
    </row>
    <row r="225" spans="2:3" x14ac:dyDescent="0.25">
      <c r="B225" s="13" t="s">
        <v>8</v>
      </c>
      <c r="C225" s="1">
        <v>10534.579999999998</v>
      </c>
    </row>
    <row r="226" spans="2:3" x14ac:dyDescent="0.25">
      <c r="B226" s="11" t="s">
        <v>2110</v>
      </c>
      <c r="C226" s="1">
        <v>24522.579999999998</v>
      </c>
    </row>
    <row r="227" spans="2:3" x14ac:dyDescent="0.25">
      <c r="B227" s="13" t="s">
        <v>29</v>
      </c>
      <c r="C227" s="1">
        <v>7344.1299999999992</v>
      </c>
    </row>
    <row r="228" spans="2:3" x14ac:dyDescent="0.25">
      <c r="B228" s="13" t="s">
        <v>108</v>
      </c>
      <c r="C228" s="1">
        <v>8166.36</v>
      </c>
    </row>
    <row r="229" spans="2:3" x14ac:dyDescent="0.25">
      <c r="B229" s="13" t="s">
        <v>8</v>
      </c>
      <c r="C229" s="1">
        <v>9012.09</v>
      </c>
    </row>
    <row r="230" spans="2:3" x14ac:dyDescent="0.25">
      <c r="B230" s="11" t="s">
        <v>2109</v>
      </c>
      <c r="C230" s="1">
        <v>27994.12</v>
      </c>
    </row>
    <row r="231" spans="2:3" x14ac:dyDescent="0.25">
      <c r="B231" s="13" t="s">
        <v>29</v>
      </c>
      <c r="C231" s="1">
        <v>4953.3100000000004</v>
      </c>
    </row>
    <row r="232" spans="2:3" x14ac:dyDescent="0.25">
      <c r="B232" s="13" t="s">
        <v>108</v>
      </c>
      <c r="C232" s="1">
        <v>6470.4400000000005</v>
      </c>
    </row>
    <row r="233" spans="2:3" x14ac:dyDescent="0.25">
      <c r="B233" s="13" t="s">
        <v>8</v>
      </c>
      <c r="C233" s="1">
        <v>16570.37</v>
      </c>
    </row>
    <row r="234" spans="2:3" x14ac:dyDescent="0.25">
      <c r="B234" s="11" t="s">
        <v>2108</v>
      </c>
      <c r="C234" s="1">
        <v>28208.67</v>
      </c>
    </row>
    <row r="235" spans="2:3" x14ac:dyDescent="0.25">
      <c r="B235" s="13" t="s">
        <v>29</v>
      </c>
      <c r="C235" s="1">
        <v>5899.5</v>
      </c>
    </row>
    <row r="236" spans="2:3" x14ac:dyDescent="0.25">
      <c r="B236" s="13" t="s">
        <v>108</v>
      </c>
      <c r="C236" s="1">
        <v>6448.7900000000009</v>
      </c>
    </row>
    <row r="237" spans="2:3" x14ac:dyDescent="0.25">
      <c r="B237" s="13" t="s">
        <v>8</v>
      </c>
      <c r="C237" s="1">
        <v>15860.379999999997</v>
      </c>
    </row>
    <row r="238" spans="2:3" x14ac:dyDescent="0.25">
      <c r="B238" s="11" t="s">
        <v>2101</v>
      </c>
      <c r="C238" s="1">
        <v>364289.49000000005</v>
      </c>
    </row>
    <row r="241" spans="1:1" x14ac:dyDescent="0.25">
      <c r="A241" s="11">
        <v>9</v>
      </c>
    </row>
    <row r="261" spans="1:4" x14ac:dyDescent="0.25">
      <c r="A261" s="11">
        <v>10</v>
      </c>
      <c r="B261" s="12" t="s">
        <v>2122</v>
      </c>
      <c r="C261" t="s">
        <v>2121</v>
      </c>
      <c r="D261" t="s">
        <v>2120</v>
      </c>
    </row>
    <row r="262" spans="1:4" x14ac:dyDescent="0.25">
      <c r="B262" s="11" t="s">
        <v>2119</v>
      </c>
      <c r="C262" s="1">
        <v>3994.8018999999995</v>
      </c>
      <c r="D262" s="1">
        <v>33057.130000000005</v>
      </c>
    </row>
    <row r="263" spans="1:4" x14ac:dyDescent="0.25">
      <c r="B263" s="13">
        <v>2024</v>
      </c>
      <c r="C263" s="1">
        <v>1055.4409000000001</v>
      </c>
      <c r="D263" s="1">
        <v>10438.84</v>
      </c>
    </row>
    <row r="264" spans="1:4" x14ac:dyDescent="0.25">
      <c r="B264" s="13">
        <v>2025</v>
      </c>
      <c r="C264" s="1">
        <v>2939.3609999999994</v>
      </c>
      <c r="D264" s="1">
        <v>22618.29</v>
      </c>
    </row>
    <row r="265" spans="1:4" x14ac:dyDescent="0.25">
      <c r="B265" s="11" t="s">
        <v>2118</v>
      </c>
      <c r="C265" s="1">
        <v>2610.1702000000005</v>
      </c>
      <c r="D265" s="1">
        <v>23917.890000000003</v>
      </c>
    </row>
    <row r="266" spans="1:4" x14ac:dyDescent="0.25">
      <c r="B266" s="13">
        <v>2023</v>
      </c>
      <c r="C266" s="1">
        <v>734.71760000000006</v>
      </c>
      <c r="D266" s="1">
        <v>7375.1500000000005</v>
      </c>
    </row>
    <row r="267" spans="1:4" x14ac:dyDescent="0.25">
      <c r="B267" s="13">
        <v>2024</v>
      </c>
      <c r="C267" s="1">
        <v>1484.1636000000001</v>
      </c>
      <c r="D267" s="1">
        <v>14341.970000000003</v>
      </c>
    </row>
    <row r="268" spans="1:4" x14ac:dyDescent="0.25">
      <c r="B268" s="13">
        <v>2025</v>
      </c>
      <c r="C268" s="1">
        <v>391.28900000000004</v>
      </c>
      <c r="D268" s="1">
        <v>2200.77</v>
      </c>
    </row>
    <row r="269" spans="1:4" x14ac:dyDescent="0.25">
      <c r="B269" s="11" t="s">
        <v>2117</v>
      </c>
      <c r="C269" s="1">
        <v>3056.8808999999997</v>
      </c>
      <c r="D269" s="1">
        <v>28795.9</v>
      </c>
    </row>
    <row r="270" spans="1:4" x14ac:dyDescent="0.25">
      <c r="B270" s="13">
        <v>2023</v>
      </c>
      <c r="C270" s="1">
        <v>1640.5933999999997</v>
      </c>
      <c r="D270" s="1">
        <v>12551.119999999997</v>
      </c>
    </row>
    <row r="271" spans="1:4" x14ac:dyDescent="0.25">
      <c r="B271" s="13">
        <v>2024</v>
      </c>
      <c r="C271" s="1">
        <v>1416.2874999999999</v>
      </c>
      <c r="D271" s="1">
        <v>16244.780000000002</v>
      </c>
    </row>
    <row r="272" spans="1:4" x14ac:dyDescent="0.25">
      <c r="B272" s="11" t="s">
        <v>2116</v>
      </c>
      <c r="C272" s="1">
        <v>4124.6797999999999</v>
      </c>
      <c r="D272" s="1">
        <v>42641.71</v>
      </c>
    </row>
    <row r="273" spans="2:4" x14ac:dyDescent="0.25">
      <c r="B273" s="13">
        <v>2023</v>
      </c>
      <c r="C273" s="1">
        <v>1758.2894999999999</v>
      </c>
      <c r="D273" s="1">
        <v>16254.35</v>
      </c>
    </row>
    <row r="274" spans="2:4" x14ac:dyDescent="0.25">
      <c r="B274" s="13">
        <v>2024</v>
      </c>
      <c r="C274" s="1">
        <v>2366.3902999999996</v>
      </c>
      <c r="D274" s="1">
        <v>26387.360000000001</v>
      </c>
    </row>
    <row r="275" spans="2:4" x14ac:dyDescent="0.25">
      <c r="B275" s="11" t="s">
        <v>2115</v>
      </c>
      <c r="C275" s="1">
        <v>2060.337</v>
      </c>
      <c r="D275" s="1">
        <v>22405.13</v>
      </c>
    </row>
    <row r="276" spans="2:4" x14ac:dyDescent="0.25">
      <c r="B276" s="13">
        <v>2023</v>
      </c>
      <c r="C276" s="1">
        <v>1032.5455999999999</v>
      </c>
      <c r="D276" s="1">
        <v>9631.5</v>
      </c>
    </row>
    <row r="277" spans="2:4" x14ac:dyDescent="0.25">
      <c r="B277" s="13">
        <v>2024</v>
      </c>
      <c r="C277" s="1">
        <v>1027.7914000000001</v>
      </c>
      <c r="D277" s="1">
        <v>12773.630000000001</v>
      </c>
    </row>
    <row r="278" spans="2:4" x14ac:dyDescent="0.25">
      <c r="B278" s="11" t="s">
        <v>2114</v>
      </c>
      <c r="C278" s="1">
        <v>2464.6154999999999</v>
      </c>
      <c r="D278" s="1">
        <v>28292.320000000007</v>
      </c>
    </row>
    <row r="279" spans="2:4" x14ac:dyDescent="0.25">
      <c r="B279" s="13">
        <v>2023</v>
      </c>
      <c r="C279" s="1">
        <v>997.01480000000004</v>
      </c>
      <c r="D279" s="1">
        <v>12769.310000000003</v>
      </c>
    </row>
    <row r="280" spans="2:4" x14ac:dyDescent="0.25">
      <c r="B280" s="13">
        <v>2024</v>
      </c>
      <c r="C280" s="1">
        <v>1467.6006999999997</v>
      </c>
      <c r="D280" s="1">
        <v>15523.010000000002</v>
      </c>
    </row>
    <row r="281" spans="2:4" x14ac:dyDescent="0.25">
      <c r="B281" s="11" t="s">
        <v>2113</v>
      </c>
      <c r="C281" s="1">
        <v>4115.2888000000003</v>
      </c>
      <c r="D281" s="1">
        <v>43112.91</v>
      </c>
    </row>
    <row r="282" spans="2:4" x14ac:dyDescent="0.25">
      <c r="B282" s="13">
        <v>2023</v>
      </c>
      <c r="C282" s="1">
        <v>2654.7091999999998</v>
      </c>
      <c r="D282" s="1">
        <v>23176.050000000003</v>
      </c>
    </row>
    <row r="283" spans="2:4" x14ac:dyDescent="0.25">
      <c r="B283" s="13">
        <v>2024</v>
      </c>
      <c r="C283" s="1">
        <v>1460.5796</v>
      </c>
      <c r="D283" s="1">
        <v>19936.859999999997</v>
      </c>
    </row>
    <row r="284" spans="2:4" x14ac:dyDescent="0.25">
      <c r="B284" s="11" t="s">
        <v>2112</v>
      </c>
      <c r="C284" s="1">
        <v>3585.9360000000001</v>
      </c>
      <c r="D284" s="1">
        <v>32279.660000000003</v>
      </c>
    </row>
    <row r="285" spans="2:4" x14ac:dyDescent="0.25">
      <c r="B285" s="13">
        <v>2023</v>
      </c>
      <c r="C285" s="1">
        <v>1513.2469000000001</v>
      </c>
      <c r="D285" s="1">
        <v>13129.92</v>
      </c>
    </row>
    <row r="286" spans="2:4" x14ac:dyDescent="0.25">
      <c r="B286" s="13">
        <v>2024</v>
      </c>
      <c r="C286" s="1">
        <v>2072.6891000000001</v>
      </c>
      <c r="D286" s="1">
        <v>19149.740000000002</v>
      </c>
    </row>
    <row r="287" spans="2:4" x14ac:dyDescent="0.25">
      <c r="B287" s="11" t="s">
        <v>2111</v>
      </c>
      <c r="C287" s="1">
        <v>3894.877</v>
      </c>
      <c r="D287" s="1">
        <v>29061.47</v>
      </c>
    </row>
    <row r="288" spans="2:4" x14ac:dyDescent="0.25">
      <c r="B288" s="13">
        <v>2023</v>
      </c>
      <c r="C288" s="1">
        <v>1674.2121000000002</v>
      </c>
      <c r="D288" s="1">
        <v>14487.769999999997</v>
      </c>
    </row>
    <row r="289" spans="1:4" x14ac:dyDescent="0.25">
      <c r="B289" s="13">
        <v>2024</v>
      </c>
      <c r="C289" s="1">
        <v>2220.6648999999998</v>
      </c>
      <c r="D289" s="1">
        <v>14573.700000000003</v>
      </c>
    </row>
    <row r="290" spans="1:4" x14ac:dyDescent="0.25">
      <c r="B290" s="11" t="s">
        <v>2110</v>
      </c>
      <c r="C290" s="1">
        <v>2611.1923000000006</v>
      </c>
      <c r="D290" s="1">
        <v>24522.58</v>
      </c>
    </row>
    <row r="291" spans="1:4" x14ac:dyDescent="0.25">
      <c r="B291" s="13">
        <v>2023</v>
      </c>
      <c r="C291" s="1">
        <v>1062.7146000000002</v>
      </c>
      <c r="D291" s="1">
        <v>11194.910000000002</v>
      </c>
    </row>
    <row r="292" spans="1:4" x14ac:dyDescent="0.25">
      <c r="B292" s="13">
        <v>2024</v>
      </c>
      <c r="C292" s="1">
        <v>1548.4777000000001</v>
      </c>
      <c r="D292" s="1">
        <v>13327.670000000002</v>
      </c>
    </row>
    <row r="293" spans="1:4" x14ac:dyDescent="0.25">
      <c r="B293" s="11" t="s">
        <v>2109</v>
      </c>
      <c r="C293" s="1">
        <v>2196.1858999999999</v>
      </c>
      <c r="D293" s="1">
        <v>27994.12</v>
      </c>
    </row>
    <row r="294" spans="1:4" x14ac:dyDescent="0.25">
      <c r="B294" s="13">
        <v>2023</v>
      </c>
      <c r="C294" s="1">
        <v>1030.0336</v>
      </c>
      <c r="D294" s="1">
        <v>13701.839999999998</v>
      </c>
    </row>
    <row r="295" spans="1:4" x14ac:dyDescent="0.25">
      <c r="B295" s="13">
        <v>2024</v>
      </c>
      <c r="C295" s="1">
        <v>1166.1523</v>
      </c>
      <c r="D295" s="1">
        <v>14292.28</v>
      </c>
    </row>
    <row r="296" spans="1:4" x14ac:dyDescent="0.25">
      <c r="B296" s="11" t="s">
        <v>2108</v>
      </c>
      <c r="C296" s="1">
        <v>3248.7649999999999</v>
      </c>
      <c r="D296" s="1">
        <v>28208.67</v>
      </c>
    </row>
    <row r="297" spans="1:4" x14ac:dyDescent="0.25">
      <c r="B297" s="13">
        <v>2023</v>
      </c>
      <c r="C297" s="1">
        <v>1361.9603999999997</v>
      </c>
      <c r="D297" s="1">
        <v>12126.09</v>
      </c>
    </row>
    <row r="298" spans="1:4" x14ac:dyDescent="0.25">
      <c r="B298" s="13">
        <v>2024</v>
      </c>
      <c r="C298" s="1">
        <v>1886.8046000000002</v>
      </c>
      <c r="D298" s="1">
        <v>16082.579999999998</v>
      </c>
    </row>
    <row r="299" spans="1:4" x14ac:dyDescent="0.25">
      <c r="B299" s="11" t="s">
        <v>2101</v>
      </c>
      <c r="C299" s="1">
        <v>37963.730300000003</v>
      </c>
      <c r="D299" s="1">
        <v>364289.49000000005</v>
      </c>
    </row>
    <row r="303" spans="1:4" x14ac:dyDescent="0.25">
      <c r="A303" s="11">
        <v>11</v>
      </c>
      <c r="B303" s="12" t="s">
        <v>2107</v>
      </c>
      <c r="C303" t="s">
        <v>2106</v>
      </c>
    </row>
    <row r="304" spans="1:4" x14ac:dyDescent="0.25">
      <c r="B304" s="11" t="s">
        <v>2105</v>
      </c>
      <c r="C304" s="1">
        <v>112</v>
      </c>
    </row>
    <row r="305" spans="2:3" x14ac:dyDescent="0.25">
      <c r="B305" s="11" t="s">
        <v>2104</v>
      </c>
      <c r="C305" s="1">
        <v>132</v>
      </c>
    </row>
    <row r="306" spans="2:3" x14ac:dyDescent="0.25">
      <c r="B306" s="11" t="s">
        <v>2103</v>
      </c>
      <c r="C306" s="1">
        <v>118</v>
      </c>
    </row>
    <row r="307" spans="2:3" x14ac:dyDescent="0.25">
      <c r="B307" s="11" t="s">
        <v>2102</v>
      </c>
      <c r="C307" s="1">
        <v>138</v>
      </c>
    </row>
    <row r="308" spans="2:3" x14ac:dyDescent="0.25">
      <c r="B308" s="11" t="s">
        <v>2101</v>
      </c>
      <c r="C308" s="1">
        <v>500</v>
      </c>
    </row>
  </sheetData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Project_Questions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2025-12-16T06:27:11Z</dcterms:created>
  <dcterms:modified xsi:type="dcterms:W3CDTF">2025-12-19T06:39:01Z</dcterms:modified>
</cp:coreProperties>
</file>